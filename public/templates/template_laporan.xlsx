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7C53DDBB-DAA3-44AE-BB73-CD40B76D0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PT" sheetId="6" r:id="rId1"/>
    <sheet name="Papikostik" sheetId="9" r:id="rId2"/>
    <sheet name="IST" sheetId="3" r:id="rId3"/>
    <sheet name="DISC Test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" i="12" l="1"/>
  <c r="P54" i="12"/>
  <c r="K54" i="12"/>
  <c r="I54" i="12"/>
  <c r="D54" i="12"/>
  <c r="B54" i="12"/>
  <c r="S53" i="12"/>
  <c r="Q53" i="12"/>
  <c r="L53" i="12"/>
  <c r="J53" i="12"/>
  <c r="E53" i="12"/>
  <c r="C53" i="12"/>
  <c r="S52" i="12"/>
  <c r="Q52" i="12"/>
  <c r="L52" i="12"/>
  <c r="J52" i="12"/>
  <c r="E52" i="12"/>
  <c r="C52" i="12"/>
  <c r="S51" i="12"/>
  <c r="Q51" i="12"/>
  <c r="L51" i="12"/>
  <c r="J51" i="12"/>
  <c r="E51" i="12"/>
  <c r="C51" i="12"/>
  <c r="S50" i="12"/>
  <c r="S54" i="12" s="1"/>
  <c r="Q50" i="12"/>
  <c r="Q54" i="12" s="1"/>
  <c r="L50" i="12"/>
  <c r="L54" i="12" s="1"/>
  <c r="J50" i="12"/>
  <c r="J54" i="12" s="1"/>
  <c r="E50" i="12"/>
  <c r="E54" i="12" s="1"/>
  <c r="C50" i="12"/>
  <c r="R48" i="12"/>
  <c r="P48" i="12"/>
  <c r="K48" i="12"/>
  <c r="I48" i="12"/>
  <c r="D48" i="12"/>
  <c r="B48" i="12"/>
  <c r="V48" i="12" s="1"/>
  <c r="S47" i="12"/>
  <c r="Q47" i="12"/>
  <c r="L47" i="12"/>
  <c r="J47" i="12"/>
  <c r="E47" i="12"/>
  <c r="C47" i="12"/>
  <c r="S46" i="12"/>
  <c r="Q46" i="12"/>
  <c r="L46" i="12"/>
  <c r="J46" i="12"/>
  <c r="E46" i="12"/>
  <c r="C46" i="12"/>
  <c r="S45" i="12"/>
  <c r="Q45" i="12"/>
  <c r="L45" i="12"/>
  <c r="J45" i="12"/>
  <c r="J48" i="12" s="1"/>
  <c r="E45" i="12"/>
  <c r="C45" i="12"/>
  <c r="S44" i="12"/>
  <c r="S48" i="12" s="1"/>
  <c r="Q44" i="12"/>
  <c r="Q48" i="12" s="1"/>
  <c r="L44" i="12"/>
  <c r="L48" i="12" s="1"/>
  <c r="J44" i="12"/>
  <c r="E44" i="12"/>
  <c r="E48" i="12" s="1"/>
  <c r="C44" i="12"/>
  <c r="C48" i="12" s="1"/>
  <c r="R42" i="12"/>
  <c r="P42" i="12"/>
  <c r="K42" i="12"/>
  <c r="I42" i="12"/>
  <c r="D42" i="12"/>
  <c r="B42" i="12"/>
  <c r="S41" i="12"/>
  <c r="Q41" i="12"/>
  <c r="L41" i="12"/>
  <c r="J41" i="12"/>
  <c r="E41" i="12"/>
  <c r="C41" i="12"/>
  <c r="S40" i="12"/>
  <c r="Q40" i="12"/>
  <c r="L40" i="12"/>
  <c r="J40" i="12"/>
  <c r="E40" i="12"/>
  <c r="C40" i="12"/>
  <c r="S39" i="12"/>
  <c r="Q39" i="12"/>
  <c r="L39" i="12"/>
  <c r="J39" i="12"/>
  <c r="J42" i="12" s="1"/>
  <c r="E39" i="12"/>
  <c r="C39" i="12"/>
  <c r="S38" i="12"/>
  <c r="S42" i="12" s="1"/>
  <c r="Q38" i="12"/>
  <c r="Q42" i="12" s="1"/>
  <c r="L38" i="12"/>
  <c r="L42" i="12" s="1"/>
  <c r="J38" i="12"/>
  <c r="E38" i="12"/>
  <c r="E42" i="12" s="1"/>
  <c r="C38" i="12"/>
  <c r="A38" i="12"/>
  <c r="A44" i="12" s="1"/>
  <c r="A50" i="12" s="1"/>
  <c r="R36" i="12"/>
  <c r="P36" i="12"/>
  <c r="K36" i="12"/>
  <c r="I36" i="12"/>
  <c r="D36" i="12"/>
  <c r="B36" i="12"/>
  <c r="S35" i="12"/>
  <c r="Q35" i="12"/>
  <c r="L35" i="12"/>
  <c r="J35" i="12"/>
  <c r="E35" i="12"/>
  <c r="C35" i="12"/>
  <c r="S34" i="12"/>
  <c r="Q34" i="12"/>
  <c r="L34" i="12"/>
  <c r="J34" i="12"/>
  <c r="E34" i="12"/>
  <c r="E36" i="12" s="1"/>
  <c r="C34" i="12"/>
  <c r="S33" i="12"/>
  <c r="Q33" i="12"/>
  <c r="L33" i="12"/>
  <c r="J33" i="12"/>
  <c r="E33" i="12"/>
  <c r="C33" i="12"/>
  <c r="S32" i="12"/>
  <c r="S36" i="12" s="1"/>
  <c r="Q32" i="12"/>
  <c r="Q36" i="12" s="1"/>
  <c r="L32" i="12"/>
  <c r="L36" i="12" s="1"/>
  <c r="J32" i="12"/>
  <c r="J36" i="12" s="1"/>
  <c r="E32" i="12"/>
  <c r="C32" i="12"/>
  <c r="C36" i="12" s="1"/>
  <c r="A32" i="12"/>
  <c r="R30" i="12"/>
  <c r="P30" i="12"/>
  <c r="K30" i="12"/>
  <c r="I30" i="12"/>
  <c r="D30" i="12"/>
  <c r="B30" i="12"/>
  <c r="S29" i="12"/>
  <c r="Q29" i="12"/>
  <c r="L29" i="12"/>
  <c r="J29" i="12"/>
  <c r="E29" i="12"/>
  <c r="C29" i="12"/>
  <c r="S28" i="12"/>
  <c r="Q28" i="12"/>
  <c r="L28" i="12"/>
  <c r="J28" i="12"/>
  <c r="E28" i="12"/>
  <c r="C28" i="12"/>
  <c r="S27" i="12"/>
  <c r="Q27" i="12"/>
  <c r="L27" i="12"/>
  <c r="J27" i="12"/>
  <c r="J30" i="12" s="1"/>
  <c r="E27" i="12"/>
  <c r="E30" i="12" s="1"/>
  <c r="C27" i="12"/>
  <c r="S26" i="12"/>
  <c r="S30" i="12" s="1"/>
  <c r="Q26" i="12"/>
  <c r="Q30" i="12" s="1"/>
  <c r="L26" i="12"/>
  <c r="L30" i="12" s="1"/>
  <c r="J26" i="12"/>
  <c r="E26" i="12"/>
  <c r="C26" i="12"/>
  <c r="C30" i="12" s="1"/>
  <c r="A26" i="12"/>
  <c r="R24" i="12"/>
  <c r="P24" i="12"/>
  <c r="K24" i="12"/>
  <c r="I24" i="12"/>
  <c r="D24" i="12"/>
  <c r="B24" i="12"/>
  <c r="S23" i="12"/>
  <c r="Q23" i="12"/>
  <c r="L23" i="12"/>
  <c r="J23" i="12"/>
  <c r="E23" i="12"/>
  <c r="C23" i="12"/>
  <c r="S22" i="12"/>
  <c r="Q22" i="12"/>
  <c r="L22" i="12"/>
  <c r="J22" i="12"/>
  <c r="E22" i="12"/>
  <c r="C22" i="12"/>
  <c r="S21" i="12"/>
  <c r="S24" i="12" s="1"/>
  <c r="Q21" i="12"/>
  <c r="L21" i="12"/>
  <c r="J21" i="12"/>
  <c r="J24" i="12" s="1"/>
  <c r="E21" i="12"/>
  <c r="C21" i="12"/>
  <c r="S20" i="12"/>
  <c r="Q20" i="12"/>
  <c r="Q24" i="12" s="1"/>
  <c r="L20" i="12"/>
  <c r="L24" i="12" s="1"/>
  <c r="J20" i="12"/>
  <c r="E20" i="12"/>
  <c r="E24" i="12" s="1"/>
  <c r="C20" i="12"/>
  <c r="R18" i="12"/>
  <c r="Q18" i="12"/>
  <c r="P18" i="12"/>
  <c r="L18" i="12"/>
  <c r="K18" i="12"/>
  <c r="J18" i="12"/>
  <c r="I18" i="12"/>
  <c r="D18" i="12"/>
  <c r="B18" i="12"/>
  <c r="S17" i="12"/>
  <c r="Q17" i="12"/>
  <c r="L17" i="12"/>
  <c r="J17" i="12"/>
  <c r="E17" i="12"/>
  <c r="C17" i="12"/>
  <c r="S16" i="12"/>
  <c r="Q16" i="12"/>
  <c r="L16" i="12"/>
  <c r="J16" i="12"/>
  <c r="E16" i="12"/>
  <c r="C16" i="12"/>
  <c r="S15" i="12"/>
  <c r="Q15" i="12"/>
  <c r="L15" i="12"/>
  <c r="J15" i="12"/>
  <c r="E15" i="12"/>
  <c r="C15" i="12"/>
  <c r="S14" i="12"/>
  <c r="S18" i="12" s="1"/>
  <c r="Q14" i="12"/>
  <c r="O14" i="12"/>
  <c r="O20" i="12" s="1"/>
  <c r="O26" i="12" s="1"/>
  <c r="O32" i="12" s="1"/>
  <c r="O38" i="12" s="1"/>
  <c r="O44" i="12" s="1"/>
  <c r="O50" i="12" s="1"/>
  <c r="L14" i="12"/>
  <c r="J14" i="12"/>
  <c r="H14" i="12"/>
  <c r="H20" i="12" s="1"/>
  <c r="H26" i="12" s="1"/>
  <c r="H32" i="12" s="1"/>
  <c r="H38" i="12" s="1"/>
  <c r="H44" i="12" s="1"/>
  <c r="H50" i="12" s="1"/>
  <c r="E14" i="12"/>
  <c r="E18" i="12" s="1"/>
  <c r="C14" i="12"/>
  <c r="R12" i="12"/>
  <c r="Q12" i="12"/>
  <c r="P12" i="12"/>
  <c r="K12" i="12"/>
  <c r="I12" i="12"/>
  <c r="D12" i="12"/>
  <c r="B12" i="12"/>
  <c r="S11" i="12"/>
  <c r="Q11" i="12"/>
  <c r="L11" i="12"/>
  <c r="J11" i="12"/>
  <c r="E11" i="12"/>
  <c r="C11" i="12"/>
  <c r="S10" i="12"/>
  <c r="Q10" i="12"/>
  <c r="L10" i="12"/>
  <c r="J10" i="12"/>
  <c r="E10" i="12"/>
  <c r="E12" i="12" s="1"/>
  <c r="C10" i="12"/>
  <c r="S9" i="12"/>
  <c r="S12" i="12" s="1"/>
  <c r="Q9" i="12"/>
  <c r="L9" i="12"/>
  <c r="J9" i="12"/>
  <c r="E9" i="12"/>
  <c r="C9" i="12"/>
  <c r="S8" i="12"/>
  <c r="Q8" i="12"/>
  <c r="L8" i="12"/>
  <c r="L12" i="12" s="1"/>
  <c r="J8" i="12"/>
  <c r="J12" i="12" s="1"/>
  <c r="E8" i="12"/>
  <c r="C8" i="12"/>
  <c r="C12" i="12" s="1"/>
  <c r="AF21" i="9"/>
  <c r="AG21" i="9" s="1"/>
  <c r="AH21" i="9" s="1"/>
  <c r="AE21" i="9"/>
  <c r="AD21" i="9"/>
  <c r="AC21" i="9"/>
  <c r="AB21" i="9"/>
  <c r="AA21" i="9"/>
  <c r="Z21" i="9"/>
  <c r="Y21" i="9"/>
  <c r="X21" i="9"/>
  <c r="AF20" i="9"/>
  <c r="AE20" i="9"/>
  <c r="AD20" i="9"/>
  <c r="AC20" i="9"/>
  <c r="AB20" i="9"/>
  <c r="AA20" i="9"/>
  <c r="Z20" i="9"/>
  <c r="Y20" i="9"/>
  <c r="X20" i="9"/>
  <c r="AF19" i="9"/>
  <c r="AE19" i="9"/>
  <c r="AD19" i="9"/>
  <c r="AC19" i="9"/>
  <c r="AB19" i="9"/>
  <c r="AA19" i="9"/>
  <c r="Z19" i="9"/>
  <c r="Y19" i="9"/>
  <c r="X19" i="9"/>
  <c r="AF18" i="9"/>
  <c r="AE18" i="9"/>
  <c r="AD18" i="9"/>
  <c r="AC18" i="9"/>
  <c r="AB18" i="9"/>
  <c r="AA18" i="9"/>
  <c r="Z18" i="9"/>
  <c r="Y18" i="9"/>
  <c r="X18" i="9"/>
  <c r="AG18" i="9" s="1"/>
  <c r="AH18" i="9" s="1"/>
  <c r="AF17" i="9"/>
  <c r="AE17" i="9"/>
  <c r="AD17" i="9"/>
  <c r="AC17" i="9"/>
  <c r="AB17" i="9"/>
  <c r="AA17" i="9"/>
  <c r="Z17" i="9"/>
  <c r="Y17" i="9"/>
  <c r="X17" i="9"/>
  <c r="AF16" i="9"/>
  <c r="AE16" i="9"/>
  <c r="AD16" i="9"/>
  <c r="AC16" i="9"/>
  <c r="AB16" i="9"/>
  <c r="AA16" i="9"/>
  <c r="Z16" i="9"/>
  <c r="Y16" i="9"/>
  <c r="X16" i="9"/>
  <c r="AF15" i="9"/>
  <c r="AE15" i="9"/>
  <c r="AD15" i="9"/>
  <c r="AC15" i="9"/>
  <c r="AB15" i="9"/>
  <c r="AA15" i="9"/>
  <c r="Z15" i="9"/>
  <c r="Y15" i="9"/>
  <c r="X15" i="9"/>
  <c r="AF14" i="9"/>
  <c r="AE14" i="9"/>
  <c r="AD14" i="9"/>
  <c r="AC14" i="9"/>
  <c r="AB14" i="9"/>
  <c r="AA14" i="9"/>
  <c r="Z14" i="9"/>
  <c r="Y14" i="9"/>
  <c r="X14" i="9"/>
  <c r="AF13" i="9"/>
  <c r="AE13" i="9"/>
  <c r="AD13" i="9"/>
  <c r="AC13" i="9"/>
  <c r="AB13" i="9"/>
  <c r="AA13" i="9"/>
  <c r="Z13" i="9"/>
  <c r="Y13" i="9"/>
  <c r="X13" i="9"/>
  <c r="AF12" i="9"/>
  <c r="AE12" i="9"/>
  <c r="AD12" i="9"/>
  <c r="AC12" i="9"/>
  <c r="AB12" i="9"/>
  <c r="AA12" i="9"/>
  <c r="Z12" i="9"/>
  <c r="Y12" i="9"/>
  <c r="X12" i="9"/>
  <c r="AF11" i="9"/>
  <c r="AE11" i="9"/>
  <c r="AD11" i="9"/>
  <c r="AC11" i="9"/>
  <c r="AB11" i="9"/>
  <c r="AA11" i="9"/>
  <c r="Z11" i="9"/>
  <c r="Y11" i="9"/>
  <c r="X11" i="9"/>
  <c r="AF10" i="9"/>
  <c r="AE10" i="9"/>
  <c r="AD10" i="9"/>
  <c r="AC10" i="9"/>
  <c r="AB10" i="9"/>
  <c r="AA10" i="9"/>
  <c r="Z10" i="9"/>
  <c r="Y10" i="9"/>
  <c r="X10" i="9"/>
  <c r="AG10" i="9" s="1"/>
  <c r="AH10" i="9" s="1"/>
  <c r="AG9" i="9"/>
  <c r="AH9" i="9" s="1"/>
  <c r="AF9" i="9"/>
  <c r="AE9" i="9"/>
  <c r="AD9" i="9"/>
  <c r="AC9" i="9"/>
  <c r="AB9" i="9"/>
  <c r="AA9" i="9"/>
  <c r="Z9" i="9"/>
  <c r="Y9" i="9"/>
  <c r="X9" i="9"/>
  <c r="AF8" i="9"/>
  <c r="AE8" i="9"/>
  <c r="AD8" i="9"/>
  <c r="AC8" i="9"/>
  <c r="AB8" i="9"/>
  <c r="AA8" i="9"/>
  <c r="Z8" i="9"/>
  <c r="Y8" i="9"/>
  <c r="X8" i="9"/>
  <c r="AF7" i="9"/>
  <c r="AE7" i="9"/>
  <c r="AD7" i="9"/>
  <c r="AC7" i="9"/>
  <c r="AB7" i="9"/>
  <c r="AA7" i="9"/>
  <c r="Z7" i="9"/>
  <c r="Y7" i="9"/>
  <c r="X7" i="9"/>
  <c r="AF6" i="9"/>
  <c r="AE6" i="9"/>
  <c r="AD6" i="9"/>
  <c r="AC6" i="9"/>
  <c r="AB6" i="9"/>
  <c r="AA6" i="9"/>
  <c r="Z6" i="9"/>
  <c r="Y6" i="9"/>
  <c r="X6" i="9"/>
  <c r="AG6" i="9" s="1"/>
  <c r="AH6" i="9" s="1"/>
  <c r="AF5" i="9"/>
  <c r="AE5" i="9"/>
  <c r="AD5" i="9"/>
  <c r="AC5" i="9"/>
  <c r="AB5" i="9"/>
  <c r="AA5" i="9"/>
  <c r="Z5" i="9"/>
  <c r="Y5" i="9"/>
  <c r="X5" i="9"/>
  <c r="AF4" i="9"/>
  <c r="AE4" i="9"/>
  <c r="AD4" i="9"/>
  <c r="AC4" i="9"/>
  <c r="AB4" i="9"/>
  <c r="AA4" i="9"/>
  <c r="Z4" i="9"/>
  <c r="Y4" i="9"/>
  <c r="X4" i="9"/>
  <c r="AF3" i="9"/>
  <c r="AE3" i="9"/>
  <c r="AD3" i="9"/>
  <c r="AC3" i="9"/>
  <c r="AB3" i="9"/>
  <c r="AA3" i="9"/>
  <c r="AG3" i="9" s="1"/>
  <c r="Z3" i="9"/>
  <c r="Y3" i="9"/>
  <c r="X3" i="9"/>
  <c r="AF2" i="9"/>
  <c r="AE2" i="9"/>
  <c r="AD2" i="9"/>
  <c r="AC2" i="9"/>
  <c r="AB2" i="9"/>
  <c r="AA2" i="9"/>
  <c r="Z2" i="9"/>
  <c r="Y2" i="9"/>
  <c r="X2" i="9"/>
  <c r="C24" i="12" l="1"/>
  <c r="V24" i="12"/>
  <c r="C54" i="12"/>
  <c r="V54" i="12"/>
  <c r="C42" i="12"/>
  <c r="V42" i="12"/>
  <c r="V36" i="12"/>
  <c r="V30" i="12"/>
  <c r="C18" i="12"/>
  <c r="V18" i="12"/>
  <c r="V12" i="12"/>
  <c r="AG20" i="9"/>
  <c r="AH20" i="9" s="1"/>
  <c r="AG15" i="9"/>
  <c r="AH15" i="9" s="1"/>
  <c r="AG5" i="9"/>
  <c r="AH5" i="9" s="1"/>
  <c r="AG14" i="9"/>
  <c r="AH14" i="9" s="1"/>
  <c r="AG16" i="9"/>
  <c r="AH16" i="9" s="1"/>
  <c r="AG2" i="9"/>
  <c r="AG8" i="9"/>
  <c r="AH8" i="9" s="1"/>
  <c r="AG17" i="9"/>
  <c r="AH17" i="9" s="1"/>
  <c r="AG13" i="9"/>
  <c r="AH13" i="9" s="1"/>
  <c r="AG4" i="9"/>
  <c r="AH4" i="9" s="1"/>
  <c r="AG12" i="9"/>
  <c r="AH12" i="9" s="1"/>
  <c r="AG7" i="9"/>
  <c r="AH7" i="9" s="1"/>
  <c r="AG11" i="9"/>
  <c r="AH11" i="9" s="1"/>
  <c r="AG19" i="9"/>
  <c r="AH19" i="9" s="1"/>
  <c r="AH2" i="9"/>
  <c r="AH3" i="9"/>
  <c r="A56" i="12" l="1"/>
  <c r="A55" i="12"/>
  <c r="AG24" i="9"/>
  <c r="AG25" i="9"/>
</calcChain>
</file>

<file path=xl/sharedStrings.xml><?xml version="1.0" encoding="utf-8"?>
<sst xmlns="http://schemas.openxmlformats.org/spreadsheetml/2006/main" count="518" uniqueCount="206">
  <si>
    <t>Nama</t>
  </si>
  <si>
    <t>:</t>
  </si>
  <si>
    <t>Tgl Lahir</t>
  </si>
  <si>
    <t>Tgl Tes</t>
  </si>
  <si>
    <t>Posisi</t>
  </si>
  <si>
    <t>Tujuan Tes</t>
  </si>
  <si>
    <t>Rekrutmen</t>
  </si>
  <si>
    <t>IQ</t>
  </si>
  <si>
    <t>No.</t>
  </si>
  <si>
    <t>Jawaban Test</t>
  </si>
  <si>
    <t>Kunci Jawaban</t>
  </si>
  <si>
    <t>Desember</t>
  </si>
  <si>
    <t>Membebaskan</t>
  </si>
  <si>
    <t>Rabu</t>
  </si>
  <si>
    <t>Ya</t>
  </si>
  <si>
    <t>Tidak</t>
  </si>
  <si>
    <t>Berpartisipasi</t>
  </si>
  <si>
    <t>Jarang</t>
  </si>
  <si>
    <t>Memiliki arti yang sama</t>
  </si>
  <si>
    <t>Hidung</t>
  </si>
  <si>
    <t>Musim semi</t>
  </si>
  <si>
    <t>Benar</t>
  </si>
  <si>
    <t>Dekat</t>
  </si>
  <si>
    <t>a</t>
  </si>
  <si>
    <t>Tidak memiliki arti yang sama atau berlawanan</t>
  </si>
  <si>
    <t>S</t>
  </si>
  <si>
    <t>s</t>
  </si>
  <si>
    <t>2,5</t>
  </si>
  <si>
    <t>6,9</t>
  </si>
  <si>
    <t>Berlawanan</t>
  </si>
  <si>
    <t>1,4</t>
  </si>
  <si>
    <t>3,22</t>
  </si>
  <si>
    <t>Perkawanan</t>
  </si>
  <si>
    <t>Tidak tahu</t>
  </si>
  <si>
    <t>1,2,4,5</t>
  </si>
  <si>
    <t>Silahkan input jawaban klien</t>
  </si>
  <si>
    <t>Aspek</t>
  </si>
  <si>
    <t>faktor</t>
  </si>
  <si>
    <t>Nilai</t>
  </si>
  <si>
    <t>Analisis</t>
  </si>
  <si>
    <t>B</t>
  </si>
  <si>
    <t>Arah kerja</t>
  </si>
  <si>
    <t>Penyelesaian secara prestasi</t>
  </si>
  <si>
    <t>N</t>
  </si>
  <si>
    <t>A</t>
  </si>
  <si>
    <t>Peranan sebagai pekerja keras</t>
  </si>
  <si>
    <t>G</t>
  </si>
  <si>
    <t>Hasrat untuk berprestasi</t>
  </si>
  <si>
    <t>Kepemimpinan</t>
  </si>
  <si>
    <t>Peran sebagai pimpinan</t>
  </si>
  <si>
    <t>L</t>
  </si>
  <si>
    <t>Pengendalian orang lain</t>
  </si>
  <si>
    <t>P</t>
  </si>
  <si>
    <t>Mudah dalam mengambil keputusan</t>
  </si>
  <si>
    <t>I</t>
  </si>
  <si>
    <t>Aktivitas</t>
  </si>
  <si>
    <t>Tipe selalu sibuk</t>
  </si>
  <si>
    <t>T</t>
  </si>
  <si>
    <t>Tipe yang bersemangat</t>
  </si>
  <si>
    <t>V</t>
  </si>
  <si>
    <t>Pergaulan</t>
  </si>
  <si>
    <t>Kebutuhan untuk mendapatkan perhatian</t>
  </si>
  <si>
    <t>X</t>
  </si>
  <si>
    <t>Pergaulan luas</t>
  </si>
  <si>
    <t>Kebutuhan berkelompok</t>
  </si>
  <si>
    <t>Kebutuhan untuk dekat dan menyayangi</t>
  </si>
  <si>
    <t>O</t>
  </si>
  <si>
    <t>Gaya kerja</t>
  </si>
  <si>
    <t>Tipe teoritikal</t>
  </si>
  <si>
    <t>R</t>
  </si>
  <si>
    <t>Suka pekerjaan yang terperinci</t>
  </si>
  <si>
    <t>D</t>
  </si>
  <si>
    <t>Tipe teratur</t>
  </si>
  <si>
    <t>C</t>
  </si>
  <si>
    <t>Sifat</t>
  </si>
  <si>
    <t>Hasrat untuk berubah</t>
  </si>
  <si>
    <t>Z</t>
  </si>
  <si>
    <t>Pengendalian emosi</t>
  </si>
  <si>
    <t>E</t>
  </si>
  <si>
    <t>Agresi</t>
  </si>
  <si>
    <t>K</t>
  </si>
  <si>
    <t>Ketaatan</t>
  </si>
  <si>
    <t>Dukungan terhadap atasan</t>
  </si>
  <si>
    <t>F</t>
  </si>
  <si>
    <t>Kebutuhan taat pada aturan dan pengarahan</t>
  </si>
  <si>
    <t>W</t>
  </si>
  <si>
    <t>Total Atas</t>
  </si>
  <si>
    <t>(Harus 45)</t>
  </si>
  <si>
    <t>Total Bawah</t>
  </si>
  <si>
    <t>Mentally Retarded</t>
  </si>
  <si>
    <t>SE</t>
  </si>
  <si>
    <t>WA</t>
  </si>
  <si>
    <t>AN</t>
  </si>
  <si>
    <t>GE</t>
  </si>
  <si>
    <t>RA</t>
  </si>
  <si>
    <t>No</t>
  </si>
  <si>
    <t>Jawaban Klien</t>
  </si>
  <si>
    <t/>
  </si>
  <si>
    <t>ZR</t>
  </si>
  <si>
    <t>FA</t>
  </si>
  <si>
    <t>WU</t>
  </si>
  <si>
    <t>ME</t>
  </si>
  <si>
    <r>
      <t>D.I.S.C.</t>
    </r>
    <r>
      <rPr>
        <b/>
        <sz val="26"/>
        <color indexed="8"/>
        <rFont val="Alfredo's Dance"/>
      </rPr>
      <t xml:space="preserve"> </t>
    </r>
    <r>
      <rPr>
        <b/>
        <sz val="26"/>
        <color indexed="8"/>
        <rFont val="Black Chancery"/>
      </rPr>
      <t>Test</t>
    </r>
  </si>
  <si>
    <r>
      <t xml:space="preserve">INSTRUKSI : </t>
    </r>
    <r>
      <rPr>
        <sz val="9"/>
        <color indexed="8"/>
        <rFont val="Calibri"/>
        <family val="2"/>
      </rPr>
      <t>Setiap nomor di bawah ini memuat 4 (empat) kalimat. Tugas anda adalah : 
1. Tanda [</t>
    </r>
    <r>
      <rPr>
        <b/>
        <sz val="11"/>
        <color indexed="8"/>
        <rFont val="Calibri"/>
        <family val="2"/>
      </rPr>
      <t>x</t>
    </r>
    <r>
      <rPr>
        <sz val="9"/>
        <color indexed="8"/>
        <rFont val="Calibri"/>
        <family val="2"/>
      </rPr>
      <t>] pada kolom di bawah huruf  [</t>
    </r>
    <r>
      <rPr>
        <b/>
        <sz val="9"/>
        <color indexed="8"/>
        <rFont val="Calibri"/>
        <family val="2"/>
      </rPr>
      <t>P</t>
    </r>
    <r>
      <rPr>
        <sz val="9"/>
        <color indexed="8"/>
        <rFont val="Calibri"/>
        <family val="2"/>
      </rPr>
      <t xml:space="preserve">] di samping kalimat yang </t>
    </r>
    <r>
      <rPr>
        <b/>
        <sz val="9"/>
        <color indexed="8"/>
        <rFont val="Calibri"/>
        <family val="2"/>
      </rPr>
      <t>PALING</t>
    </r>
    <r>
      <rPr>
        <sz val="9"/>
        <color indexed="8"/>
        <rFont val="Calibri"/>
        <family val="2"/>
      </rPr>
      <t xml:space="preserve"> </t>
    </r>
    <r>
      <rPr>
        <b/>
        <sz val="9"/>
        <color indexed="8"/>
        <rFont val="Calibri"/>
        <family val="2"/>
      </rPr>
      <t>menggambarkan</t>
    </r>
    <r>
      <rPr>
        <sz val="9"/>
        <color indexed="8"/>
        <rFont val="Calibri"/>
        <family val="2"/>
      </rPr>
      <t xml:space="preserve"> diri anda
2. Tanda [</t>
    </r>
    <r>
      <rPr>
        <b/>
        <sz val="11"/>
        <color indexed="8"/>
        <rFont val="Calibri"/>
        <family val="2"/>
      </rPr>
      <t>x</t>
    </r>
    <r>
      <rPr>
        <sz val="9"/>
        <color indexed="8"/>
        <rFont val="Calibri"/>
        <family val="2"/>
      </rPr>
      <t>] pada kolom di bawah huruf  [</t>
    </r>
    <r>
      <rPr>
        <b/>
        <sz val="9"/>
        <color indexed="8"/>
        <rFont val="Calibri"/>
        <family val="2"/>
      </rPr>
      <t>K</t>
    </r>
    <r>
      <rPr>
        <sz val="9"/>
        <color indexed="8"/>
        <rFont val="Calibri"/>
        <family val="2"/>
      </rPr>
      <t xml:space="preserve">] di samping kalimat yang </t>
    </r>
    <r>
      <rPr>
        <b/>
        <sz val="9"/>
        <color indexed="8"/>
        <rFont val="Calibri"/>
        <family val="2"/>
      </rPr>
      <t>PALING</t>
    </r>
    <r>
      <rPr>
        <sz val="9"/>
        <color indexed="8"/>
        <rFont val="Calibri"/>
        <family val="2"/>
      </rPr>
      <t xml:space="preserve"> </t>
    </r>
    <r>
      <rPr>
        <b/>
        <sz val="9"/>
        <color indexed="8"/>
        <rFont val="Calibri"/>
        <family val="2"/>
      </rPr>
      <t>TIDAK</t>
    </r>
    <r>
      <rPr>
        <sz val="9"/>
        <color indexed="8"/>
        <rFont val="Calibri"/>
        <family val="2"/>
      </rPr>
      <t xml:space="preserve"> </t>
    </r>
    <r>
      <rPr>
        <b/>
        <sz val="9"/>
        <color indexed="8"/>
        <rFont val="Calibri"/>
        <family val="2"/>
      </rPr>
      <t>menggambarkan</t>
    </r>
    <r>
      <rPr>
        <sz val="9"/>
        <color indexed="8"/>
        <rFont val="Calibri"/>
        <family val="2"/>
      </rPr>
      <t xml:space="preserve"> diri anda
</t>
    </r>
    <r>
      <rPr>
        <b/>
        <u/>
        <sz val="9"/>
        <color indexed="10"/>
        <rFont val="Calibri"/>
        <family val="2"/>
      </rPr>
      <t>PERHATIKAN :</t>
    </r>
    <r>
      <rPr>
        <b/>
        <sz val="9"/>
        <color indexed="10"/>
        <rFont val="Calibri"/>
        <family val="2"/>
      </rPr>
      <t xml:space="preserve"> </t>
    </r>
    <r>
      <rPr>
        <sz val="9"/>
        <color indexed="10"/>
        <rFont val="Calibri"/>
        <family val="2"/>
      </rPr>
      <t>Setiap nomor hanya ada 1 (satu) tanda [</t>
    </r>
    <r>
      <rPr>
        <b/>
        <sz val="11"/>
        <color indexed="10"/>
        <rFont val="Calibri"/>
        <family val="2"/>
      </rPr>
      <t>x</t>
    </r>
    <r>
      <rPr>
        <sz val="9"/>
        <color indexed="10"/>
        <rFont val="Calibri"/>
        <family val="2"/>
      </rPr>
      <t>] di bawah masing-masing kolom</t>
    </r>
    <r>
      <rPr>
        <b/>
        <sz val="9"/>
        <color indexed="10"/>
        <rFont val="Calibri"/>
        <family val="2"/>
      </rPr>
      <t xml:space="preserve"> P</t>
    </r>
    <r>
      <rPr>
        <sz val="9"/>
        <color indexed="10"/>
        <rFont val="Calibri"/>
        <family val="2"/>
      </rPr>
      <t xml:space="preserve"> dan </t>
    </r>
    <r>
      <rPr>
        <b/>
        <sz val="9"/>
        <color indexed="10"/>
        <rFont val="Calibri"/>
        <family val="2"/>
      </rPr>
      <t>K</t>
    </r>
    <r>
      <rPr>
        <sz val="9"/>
        <color indexed="10"/>
        <rFont val="Calibri"/>
        <family val="2"/>
      </rPr>
      <t>.</t>
    </r>
  </si>
  <si>
    <t>Tanggal Lahir</t>
  </si>
  <si>
    <t>Tanggal Test</t>
  </si>
  <si>
    <t>Tujuan Test</t>
  </si>
  <si>
    <t>Gambaran Diri</t>
  </si>
  <si>
    <t>Gampangan, Mudah setuju</t>
  </si>
  <si>
    <t>Hasil adalah penting</t>
  </si>
  <si>
    <t>Pendidikan, Kebudayaan</t>
  </si>
  <si>
    <t>Percaya, Mudah percaya pada orang</t>
  </si>
  <si>
    <t>Lakukan dengan benar, Akurasi penting</t>
  </si>
  <si>
    <t>Prestasi, Ganjaran</t>
  </si>
  <si>
    <t>Petualang, Mengambil resiko</t>
  </si>
  <si>
    <t>Dibuat menyenangkan</t>
  </si>
  <si>
    <t>Keselamatan, keamanan</t>
  </si>
  <si>
    <t>Toleran, Menghormati</t>
  </si>
  <si>
    <t>Mari kerjakan bersama</t>
  </si>
  <si>
    <t>Sosial, Perkumpulan kelompok</t>
  </si>
  <si>
    <t>Lembut suara, Pendiam</t>
  </si>
  <si>
    <t>Akan berjalan terus tanpa kontrol diri</t>
  </si>
  <si>
    <t>Memimpin, Pendekatan langsung</t>
  </si>
  <si>
    <t>Optimistik, Visioner</t>
  </si>
  <si>
    <t>Akan membeli sesuai dorongan hati</t>
  </si>
  <si>
    <t>Suka bergaul, Antusias</t>
  </si>
  <si>
    <t>Pusat Perhatian, Suka gaul</t>
  </si>
  <si>
    <t>Akan menunggu, Tanpa tekanan</t>
  </si>
  <si>
    <t>Dapat diramal, Konsisten</t>
  </si>
  <si>
    <t>Pendamai, Membawa Harmoni</t>
  </si>
  <si>
    <t>Akan mengusahakan  yang kuinginkan</t>
  </si>
  <si>
    <t>Waspada, Hati-hati</t>
  </si>
  <si>
    <t>Menyemangati orang</t>
  </si>
  <si>
    <t>Ramah, Mudah bergabung</t>
  </si>
  <si>
    <t>Tidak mudah dikalahkan</t>
  </si>
  <si>
    <t>Berusaha sempurna</t>
  </si>
  <si>
    <t>Unik, Bosan rutinitas</t>
  </si>
  <si>
    <t>Kerjakan sesuai perintah, Ikut pimpinan</t>
  </si>
  <si>
    <t>Bagian dari kelompok</t>
  </si>
  <si>
    <t>Aktif mengubah sesuatu</t>
  </si>
  <si>
    <t>Mudah terangsang, Riang</t>
  </si>
  <si>
    <t>Ingin membuat tujuan</t>
  </si>
  <si>
    <t>Ingin hal-hal yang pasti</t>
  </si>
  <si>
    <t>Ingin segalanya teratur, Rapi</t>
  </si>
  <si>
    <t>Menjadi frustrasi</t>
  </si>
  <si>
    <t>Non-konfrontasi, Menyerah</t>
  </si>
  <si>
    <t>Saya akan pimpin mereka</t>
  </si>
  <si>
    <t>Menyimpan perasaan saya</t>
  </si>
  <si>
    <t>Dipenuhi hal detail</t>
  </si>
  <si>
    <t>Saya akan melaksanakan</t>
  </si>
  <si>
    <t>Menceritakan sisi saya</t>
  </si>
  <si>
    <t>Perubahan pada menit terakhir</t>
  </si>
  <si>
    <t>Saya akan meyakinkan mereka</t>
  </si>
  <si>
    <t>Siap beroposisi</t>
  </si>
  <si>
    <t>Menuntut, Kasar</t>
  </si>
  <si>
    <t>Saya dapatkan fakta</t>
  </si>
  <si>
    <t>Hidup, Suka bicara</t>
  </si>
  <si>
    <t>Ingin kemajuan</t>
  </si>
  <si>
    <t>Memikirkan orang dahulu</t>
  </si>
  <si>
    <t>Gerak cepat, Tekun</t>
  </si>
  <si>
    <t>Puas dengan segalanya</t>
  </si>
  <si>
    <t>Kompetitif, Suka tantangan</t>
  </si>
  <si>
    <t>Usaha menjaga keseimbangan</t>
  </si>
  <si>
    <t>Terbuka memperlihatkan perasaan</t>
  </si>
  <si>
    <t>Optimis, Positif</t>
  </si>
  <si>
    <t>Usaha mengikuti aturan</t>
  </si>
  <si>
    <t>Rendah hati, Sederhana</t>
  </si>
  <si>
    <t>Pemikir logis, Sistematik</t>
  </si>
  <si>
    <t>Kelola waktu secara efisien</t>
  </si>
  <si>
    <t>Tenang, Pendiam</t>
  </si>
  <si>
    <t>Menyenangkan orang, Mudah setuju</t>
  </si>
  <si>
    <t>Sering terburu-buru, Merasa tertekan</t>
  </si>
  <si>
    <t>Bahagia, Tanpa beban</t>
  </si>
  <si>
    <t>Tertawa lepas, Hidup</t>
  </si>
  <si>
    <t>Masalah sosial itu penting</t>
  </si>
  <si>
    <t>Menyenangkan, Baik hati</t>
  </si>
  <si>
    <t>Berani, Tak gentar</t>
  </si>
  <si>
    <t>Suka selesaikan apa yang saya mulai</t>
  </si>
  <si>
    <t>Tak gentar, Berani</t>
  </si>
  <si>
    <t>Tolak perubahan mendadak</t>
  </si>
  <si>
    <t>Menggunakan waktu berkualitas dgn teman</t>
  </si>
  <si>
    <t>Ingin otoritas lebih</t>
  </si>
  <si>
    <t>Cenderung janji berlebihan</t>
  </si>
  <si>
    <t>Rencanakan masa depan, Bersiap</t>
  </si>
  <si>
    <t>Ingin kesempatan baru</t>
  </si>
  <si>
    <t>Tarik diri di tengah tekanan</t>
  </si>
  <si>
    <t>Bepergian demi petualangan baru</t>
  </si>
  <si>
    <t>Menghindari konflik</t>
  </si>
  <si>
    <t>Tidak takut bertempur</t>
  </si>
  <si>
    <t>Menerima ganjaran atas tujuan yg dicapai</t>
  </si>
  <si>
    <t>Ingin petunjuk yang jelas</t>
  </si>
  <si>
    <t>Penyemangat yang baik</t>
  </si>
  <si>
    <t>Aturan perlu dipertanyakan</t>
  </si>
  <si>
    <t>Dapat diandalkan, Dapata dipercaya</t>
  </si>
  <si>
    <t>Pendengar yang baik</t>
  </si>
  <si>
    <t>Aturan membuat adil</t>
  </si>
  <si>
    <t>Kreatif, Unik</t>
  </si>
  <si>
    <t>Penganalisa yang baik</t>
  </si>
  <si>
    <t>Aturan membuat bosan</t>
  </si>
  <si>
    <t>Garis dasar, Orientasi hasil</t>
  </si>
  <si>
    <t>Delegator yang baik</t>
  </si>
  <si>
    <t>Aturan membuat aman</t>
  </si>
  <si>
    <t>Jalankan standar yang tinggi, Akurat</t>
  </si>
  <si>
    <t>Deskripsi Kepribadian</t>
  </si>
  <si>
    <t>-</t>
  </si>
  <si>
    <t>Mentally 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</si>
</sst>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0.000"/>
    <numFmt numFmtId="166" formatCode="[$-421]dd\ mmmm\ yyyy;@"/>
    <numFmt numFmtId="167" formatCode="&quot;$&quot;#,##0.00"/>
  </numFmts>
  <fonts count="39">
    <font>
      <sz val="11"/>
      <color theme="1"/>
      <name val="Franklin Gothic Medium"/>
      <family val="2"/>
      <scheme val="minor"/>
    </font>
    <font>
      <b/>
      <sz val="10"/>
      <color indexed="13"/>
      <name val="Arial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 tint="0.24994659260841701"/>
      <name val="Franklin Gothic Medium"/>
      <family val="2"/>
      <scheme val="minor"/>
    </font>
    <font>
      <b/>
      <sz val="18"/>
      <color rgb="FFFF0000"/>
      <name val="Arial"/>
      <family val="2"/>
    </font>
    <font>
      <sz val="11"/>
      <name val="Calibri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u/>
      <sz val="26"/>
      <color indexed="8"/>
      <name val="Alfredo's Dance"/>
    </font>
    <font>
      <b/>
      <u/>
      <sz val="9"/>
      <color indexed="8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color indexed="9"/>
      <name val="Calibri"/>
      <family val="2"/>
    </font>
    <font>
      <b/>
      <sz val="8"/>
      <color theme="0"/>
      <name val="Calibri"/>
      <family val="2"/>
    </font>
    <font>
      <sz val="8"/>
      <color indexed="8"/>
      <name val="Calibri"/>
      <family val="2"/>
    </font>
    <font>
      <b/>
      <sz val="9"/>
      <color indexed="10"/>
      <name val="Calibri"/>
      <family val="2"/>
    </font>
    <font>
      <b/>
      <sz val="16"/>
      <color rgb="FF7030A0"/>
      <name val="Calibri"/>
      <family val="2"/>
    </font>
    <font>
      <b/>
      <sz val="16"/>
      <name val="Times New Roman"/>
      <family val="1"/>
    </font>
    <font>
      <sz val="12"/>
      <color theme="1"/>
      <name val="Franklin Gothic Medium"/>
      <family val="2"/>
      <scheme val="minor"/>
    </font>
    <font>
      <b/>
      <sz val="26"/>
      <color indexed="8"/>
      <name val="Alfredo's Dance"/>
    </font>
    <font>
      <b/>
      <sz val="26"/>
      <color indexed="8"/>
      <name val="Black Chancery"/>
    </font>
    <font>
      <b/>
      <sz val="11"/>
      <color indexed="8"/>
      <name val="Calibri"/>
      <family val="2"/>
    </font>
    <font>
      <b/>
      <u/>
      <sz val="9"/>
      <color indexed="10"/>
      <name val="Calibri"/>
      <family val="2"/>
    </font>
    <font>
      <sz val="9"/>
      <color indexed="10"/>
      <name val="Calibri"/>
      <family val="2"/>
    </font>
    <font>
      <b/>
      <sz val="11"/>
      <color indexed="10"/>
      <name val="Calibri"/>
      <family val="2"/>
    </font>
    <font>
      <sz val="11"/>
      <color theme="1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24"/>
      <color theme="4" tint="-0.499984740745262"/>
      <name val="Franklin Gothic Medium"/>
      <family val="2"/>
      <scheme val="major"/>
    </font>
    <font>
      <b/>
      <sz val="11"/>
      <color theme="4" tint="-0.499984740745262"/>
      <name val="Franklin Gothic Medium"/>
      <family val="2"/>
      <scheme val="major"/>
    </font>
    <font>
      <sz val="11"/>
      <color theme="1" tint="0.24994659260841701"/>
      <name val="Franklin Gothic Medium"/>
      <family val="2"/>
      <scheme val="major"/>
    </font>
    <font>
      <i/>
      <u/>
      <sz val="9"/>
      <color theme="1" tint="4.9989318521683403E-2"/>
      <name val="Franklin Gothic Medium"/>
      <family val="2"/>
      <scheme val="major"/>
    </font>
    <font>
      <b/>
      <sz val="12"/>
      <color theme="4" tint="-0.499984740745262"/>
      <name val="Franklin Gothic Medium"/>
      <family val="2"/>
      <scheme val="major"/>
    </font>
    <font>
      <sz val="11"/>
      <color indexed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5">
    <xf numFmtId="0" fontId="0" fillId="0" borderId="0"/>
    <xf numFmtId="0" fontId="7" fillId="0" borderId="0"/>
    <xf numFmtId="0" fontId="37" fillId="0" borderId="0" applyFill="0" applyProtection="0"/>
    <xf numFmtId="0" fontId="34" fillId="0" borderId="0" applyFill="0" applyProtection="0">
      <alignment horizontal="right" vertical="center" wrapText="1"/>
    </xf>
    <xf numFmtId="0" fontId="35" fillId="0" borderId="0" applyFill="0" applyProtection="0">
      <alignment horizontal="right" vertical="center" indent="1"/>
    </xf>
    <xf numFmtId="0" fontId="36" fillId="0" borderId="0" applyProtection="0">
      <alignment vertical="top"/>
    </xf>
    <xf numFmtId="43" fontId="7" fillId="0" borderId="0" applyFill="0" applyBorder="0" applyAlignment="0" applyProtection="0"/>
    <xf numFmtId="41" fontId="7" fillId="0" borderId="0" applyFill="0" applyBorder="0" applyAlignment="0" applyProtection="0"/>
    <xf numFmtId="7" fontId="7" fillId="0" borderId="0" applyFont="0" applyFill="0" applyBorder="0" applyProtection="0">
      <alignment vertical="center"/>
    </xf>
    <xf numFmtId="42" fontId="7" fillId="0" borderId="0" applyFill="0" applyBorder="0" applyAlignment="0" applyProtection="0"/>
    <xf numFmtId="9" fontId="7" fillId="0" borderId="0" applyFill="0" applyBorder="0" applyAlignment="0" applyProtection="0"/>
    <xf numFmtId="167" fontId="32" fillId="19" borderId="37">
      <alignment horizontal="center"/>
    </xf>
    <xf numFmtId="0" fontId="7" fillId="0" borderId="35">
      <alignment horizontal="left" vertical="center" wrapText="1"/>
    </xf>
    <xf numFmtId="0" fontId="7" fillId="0" borderId="0">
      <alignment vertical="center"/>
    </xf>
    <xf numFmtId="14" fontId="7" fillId="0" borderId="0">
      <alignment horizontal="left" vertical="center"/>
    </xf>
    <xf numFmtId="0" fontId="7" fillId="0" borderId="0">
      <alignment vertical="center" wrapText="1"/>
    </xf>
    <xf numFmtId="7" fontId="32" fillId="19" borderId="38">
      <alignment horizontal="center"/>
    </xf>
    <xf numFmtId="7" fontId="32" fillId="0" borderId="36">
      <alignment horizontal="center"/>
    </xf>
    <xf numFmtId="0" fontId="33" fillId="0" borderId="0" applyProtection="0">
      <alignment vertical="top"/>
    </xf>
    <xf numFmtId="0" fontId="31" fillId="0" borderId="0"/>
    <xf numFmtId="0" fontId="2" fillId="0" borderId="0"/>
    <xf numFmtId="0" fontId="3" fillId="0" borderId="0"/>
    <xf numFmtId="41" fontId="38" fillId="0" borderId="0" applyFont="0" applyFill="0" applyBorder="0" applyAlignment="0" applyProtection="0"/>
    <xf numFmtId="43" fontId="7" fillId="0" borderId="0" applyFill="0" applyBorder="0" applyAlignment="0" applyProtection="0"/>
    <xf numFmtId="7" fontId="7" fillId="0" borderId="0" applyFont="0" applyFill="0" applyBorder="0" applyProtection="0">
      <alignment vertical="center"/>
    </xf>
  </cellStyleXfs>
  <cellXfs count="12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164" fontId="2" fillId="0" borderId="1" xfId="0" applyNumberFormat="1" applyFont="1" applyBorder="1" applyProtection="1">
      <protection locked="0"/>
    </xf>
    <xf numFmtId="0" fontId="2" fillId="3" borderId="1" xfId="0" applyFont="1" applyFill="1" applyBorder="1" applyAlignment="1" applyProtection="1">
      <alignment horizontal="left"/>
      <protection hidden="1"/>
    </xf>
    <xf numFmtId="0" fontId="2" fillId="4" borderId="1" xfId="0" applyFont="1" applyFill="1" applyBorder="1"/>
    <xf numFmtId="0" fontId="3" fillId="5" borderId="1" xfId="0" applyFont="1" applyFill="1" applyBorder="1" applyProtection="1">
      <protection hidden="1"/>
    </xf>
    <xf numFmtId="0" fontId="4" fillId="6" borderId="1" xfId="0" applyFont="1" applyFill="1" applyBorder="1" applyAlignment="1" applyProtection="1">
      <alignment horizontal="center"/>
      <protection hidden="1"/>
    </xf>
    <xf numFmtId="0" fontId="3" fillId="6" borderId="1" xfId="0" applyFont="1" applyFill="1" applyBorder="1" applyProtection="1">
      <protection hidden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/>
    </xf>
    <xf numFmtId="0" fontId="6" fillId="0" borderId="1" xfId="0" applyFont="1" applyBorder="1" applyAlignment="1" applyProtection="1">
      <alignment horizontal="center"/>
      <protection locked="0"/>
    </xf>
    <xf numFmtId="0" fontId="6" fillId="9" borderId="1" xfId="0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center"/>
    </xf>
    <xf numFmtId="0" fontId="4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protection locked="0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left" vertical="center"/>
      <protection locked="0"/>
    </xf>
    <xf numFmtId="0" fontId="7" fillId="12" borderId="1" xfId="0" applyFont="1" applyFill="1" applyBorder="1" applyAlignment="1" applyProtection="1">
      <alignment horizontal="center" vertical="center"/>
      <protection locked="0"/>
    </xf>
    <xf numFmtId="0" fontId="7" fillId="13" borderId="1" xfId="0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7" borderId="1" xfId="0" applyFont="1" applyFill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locked="0"/>
    </xf>
    <xf numFmtId="0" fontId="10" fillId="8" borderId="1" xfId="0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2" fillId="0" borderId="0" xfId="0" applyFont="1"/>
    <xf numFmtId="0" fontId="4" fillId="16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left"/>
    </xf>
    <xf numFmtId="0" fontId="13" fillId="0" borderId="7" xfId="0" applyFont="1" applyBorder="1" applyProtection="1">
      <protection locked="0"/>
    </xf>
    <xf numFmtId="0" fontId="13" fillId="0" borderId="7" xfId="0" applyFont="1" applyBorder="1" applyAlignment="1" applyProtection="1">
      <alignment horizontal="left"/>
      <protection locked="0"/>
    </xf>
    <xf numFmtId="166" fontId="13" fillId="0" borderId="13" xfId="0" applyNumberFormat="1" applyFont="1" applyBorder="1" applyAlignment="1" applyProtection="1">
      <alignment horizontal="left"/>
      <protection locked="0"/>
    </xf>
    <xf numFmtId="0" fontId="12" fillId="15" borderId="17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2" fillId="17" borderId="17" xfId="0" applyFont="1" applyFill="1" applyBorder="1" applyAlignment="1" applyProtection="1">
      <alignment horizontal="center"/>
      <protection hidden="1"/>
    </xf>
    <xf numFmtId="0" fontId="12" fillId="18" borderId="17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3" fillId="8" borderId="19" xfId="0" applyFont="1" applyFill="1" applyBorder="1" applyAlignment="1" applyProtection="1">
      <alignment horizontal="center"/>
      <protection locked="0"/>
    </xf>
    <xf numFmtId="0" fontId="13" fillId="17" borderId="19" xfId="0" applyFont="1" applyFill="1" applyBorder="1" applyAlignment="1" applyProtection="1">
      <alignment horizontal="center"/>
      <protection hidden="1"/>
    </xf>
    <xf numFmtId="0" fontId="13" fillId="18" borderId="20" xfId="0" applyFont="1" applyFill="1" applyBorder="1" applyAlignment="1" applyProtection="1">
      <alignment horizontal="center"/>
      <protection locked="0"/>
    </xf>
    <xf numFmtId="0" fontId="13" fillId="17" borderId="19" xfId="0" applyFont="1" applyFill="1" applyBorder="1" applyAlignment="1">
      <alignment horizontal="center"/>
    </xf>
    <xf numFmtId="0" fontId="13" fillId="3" borderId="21" xfId="0" applyFont="1" applyFill="1" applyBorder="1"/>
    <xf numFmtId="0" fontId="13" fillId="18" borderId="19" xfId="0" applyFont="1" applyFill="1" applyBorder="1" applyAlignment="1" applyProtection="1">
      <alignment horizontal="center"/>
      <protection locked="0"/>
    </xf>
    <xf numFmtId="0" fontId="13" fillId="3" borderId="22" xfId="0" applyFont="1" applyFill="1" applyBorder="1"/>
    <xf numFmtId="0" fontId="17" fillId="0" borderId="0" xfId="0" applyFont="1"/>
    <xf numFmtId="0" fontId="13" fillId="8" borderId="20" xfId="0" applyFont="1" applyFill="1" applyBorder="1" applyAlignment="1" applyProtection="1">
      <alignment horizontal="center"/>
      <protection locked="0"/>
    </xf>
    <xf numFmtId="0" fontId="13" fillId="17" borderId="20" xfId="0" applyFont="1" applyFill="1" applyBorder="1" applyAlignment="1" applyProtection="1">
      <alignment horizontal="center"/>
      <protection hidden="1"/>
    </xf>
    <xf numFmtId="0" fontId="13" fillId="17" borderId="20" xfId="0" applyFont="1" applyFill="1" applyBorder="1" applyAlignment="1">
      <alignment horizontal="center"/>
    </xf>
    <xf numFmtId="0" fontId="13" fillId="3" borderId="23" xfId="0" applyFont="1" applyFill="1" applyBorder="1"/>
    <xf numFmtId="0" fontId="13" fillId="8" borderId="24" xfId="0" applyFont="1" applyFill="1" applyBorder="1" applyAlignment="1" applyProtection="1">
      <alignment horizontal="center"/>
      <protection locked="0"/>
    </xf>
    <xf numFmtId="0" fontId="13" fillId="17" borderId="24" xfId="0" applyFont="1" applyFill="1" applyBorder="1" applyAlignment="1" applyProtection="1">
      <alignment horizontal="center"/>
      <protection hidden="1"/>
    </xf>
    <xf numFmtId="0" fontId="13" fillId="18" borderId="24" xfId="0" applyFont="1" applyFill="1" applyBorder="1" applyAlignment="1" applyProtection="1">
      <alignment horizontal="center"/>
      <protection locked="0"/>
    </xf>
    <xf numFmtId="0" fontId="13" fillId="17" borderId="24" xfId="0" applyFont="1" applyFill="1" applyBorder="1" applyAlignment="1">
      <alignment horizontal="center"/>
    </xf>
    <xf numFmtId="0" fontId="13" fillId="3" borderId="25" xfId="0" applyFont="1" applyFill="1" applyBorder="1"/>
    <xf numFmtId="0" fontId="13" fillId="3" borderId="26" xfId="0" applyFont="1" applyFill="1" applyBorder="1"/>
    <xf numFmtId="0" fontId="18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 applyProtection="1">
      <alignment horizontal="center"/>
      <protection hidden="1"/>
    </xf>
    <xf numFmtId="0" fontId="19" fillId="0" borderId="0" xfId="0" applyFont="1"/>
    <xf numFmtId="0" fontId="12" fillId="17" borderId="17" xfId="0" applyFont="1" applyFill="1" applyBorder="1" applyAlignment="1">
      <alignment horizontal="center"/>
    </xf>
    <xf numFmtId="0" fontId="20" fillId="3" borderId="22" xfId="0" applyFont="1" applyFill="1" applyBorder="1"/>
    <xf numFmtId="0" fontId="20" fillId="3" borderId="26" xfId="0" applyFont="1" applyFill="1" applyBorder="1"/>
    <xf numFmtId="0" fontId="23" fillId="0" borderId="0" xfId="0" applyFont="1" applyAlignment="1" applyProtection="1">
      <alignment vertical="center"/>
      <protection hidden="1"/>
    </xf>
    <xf numFmtId="0" fontId="3" fillId="6" borderId="1" xfId="1" applyFont="1" applyFill="1" applyBorder="1" applyProtection="1">
      <protection hidden="1"/>
    </xf>
    <xf numFmtId="0" fontId="3" fillId="10" borderId="1" xfId="1" applyFont="1" applyFill="1" applyBorder="1" applyAlignment="1" applyProtection="1">
      <alignment horizontal="center" vertical="center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/>
    </xf>
    <xf numFmtId="0" fontId="22" fillId="0" borderId="0" xfId="0" applyFont="1" applyAlignment="1" applyProtection="1">
      <alignment horizontal="center"/>
      <protection locked="0" hidden="1"/>
    </xf>
    <xf numFmtId="0" fontId="6" fillId="0" borderId="27" xfId="0" applyFont="1" applyBorder="1" applyAlignment="1" applyProtection="1">
      <alignment horizontal="justify" vertical="top" wrapText="1"/>
      <protection hidden="1"/>
    </xf>
    <xf numFmtId="0" fontId="24" fillId="0" borderId="28" xfId="0" applyFont="1" applyBorder="1" applyAlignment="1" applyProtection="1">
      <alignment horizontal="justify" vertical="top" wrapText="1"/>
      <protection hidden="1"/>
    </xf>
    <xf numFmtId="0" fontId="24" fillId="0" borderId="29" xfId="0" applyFont="1" applyBorder="1" applyAlignment="1" applyProtection="1">
      <alignment horizontal="justify" vertical="top" wrapText="1"/>
      <protection hidden="1"/>
    </xf>
    <xf numFmtId="0" fontId="24" fillId="0" borderId="30" xfId="0" applyFont="1" applyBorder="1" applyAlignment="1" applyProtection="1">
      <alignment horizontal="justify" vertical="top" wrapText="1"/>
      <protection hidden="1"/>
    </xf>
    <xf numFmtId="0" fontId="24" fillId="0" borderId="0" xfId="0" applyFont="1" applyAlignment="1" applyProtection="1">
      <alignment horizontal="justify" vertical="top" wrapText="1"/>
      <protection hidden="1"/>
    </xf>
    <xf numFmtId="0" fontId="24" fillId="0" borderId="31" xfId="0" applyFont="1" applyBorder="1" applyAlignment="1" applyProtection="1">
      <alignment horizontal="justify" vertical="top" wrapText="1"/>
      <protection hidden="1"/>
    </xf>
    <xf numFmtId="0" fontId="24" fillId="0" borderId="32" xfId="0" applyFont="1" applyBorder="1" applyAlignment="1" applyProtection="1">
      <alignment horizontal="justify" vertical="top" wrapText="1"/>
      <protection hidden="1"/>
    </xf>
    <xf numFmtId="0" fontId="24" fillId="0" borderId="33" xfId="0" applyFont="1" applyBorder="1" applyAlignment="1" applyProtection="1">
      <alignment horizontal="justify" vertical="top" wrapText="1"/>
      <protection hidden="1"/>
    </xf>
    <xf numFmtId="0" fontId="24" fillId="0" borderId="34" xfId="0" applyFont="1" applyBorder="1" applyAlignment="1" applyProtection="1">
      <alignment horizontal="justify" vertical="top" wrapText="1"/>
      <protection hidden="1"/>
    </xf>
    <xf numFmtId="0" fontId="12" fillId="15" borderId="19" xfId="0" applyFont="1" applyFill="1" applyBorder="1" applyAlignment="1">
      <alignment horizontal="center" vertical="center"/>
    </xf>
    <xf numFmtId="0" fontId="12" fillId="15" borderId="20" xfId="0" applyFont="1" applyFill="1" applyBorder="1" applyAlignment="1">
      <alignment horizontal="center" vertical="center"/>
    </xf>
    <xf numFmtId="0" fontId="12" fillId="15" borderId="24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5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3" fillId="11" borderId="1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0" fontId="3" fillId="14" borderId="2" xfId="0" applyFont="1" applyFill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3" fillId="10" borderId="2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4" fillId="15" borderId="5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164" fontId="2" fillId="3" borderId="2" xfId="0" applyNumberFormat="1" applyFont="1" applyFill="1" applyBorder="1" applyAlignment="1" applyProtection="1">
      <alignment horizontal="left"/>
      <protection locked="0"/>
    </xf>
    <xf numFmtId="164" fontId="2" fillId="3" borderId="3" xfId="0" applyNumberFormat="1" applyFont="1" applyFill="1" applyBorder="1" applyAlignment="1" applyProtection="1">
      <alignment horizontal="left"/>
      <protection locked="0"/>
    </xf>
    <xf numFmtId="0" fontId="2" fillId="3" borderId="2" xfId="0" applyFont="1" applyFill="1" applyBorder="1" applyAlignment="1" applyProtection="1">
      <alignment horizontal="left"/>
      <protection hidden="1"/>
    </xf>
    <xf numFmtId="0" fontId="2" fillId="3" borderId="3" xfId="0" applyFont="1" applyFill="1" applyBorder="1" applyAlignment="1" applyProtection="1">
      <alignment horizontal="left"/>
      <protection hidden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</cellXfs>
  <cellStyles count="25">
    <cellStyle name="Advances" xfId="17" xr:uid="{B5FC7A37-DF6D-40F0-A304-B800F519A078}"/>
    <cellStyle name="Comma [0] 2" xfId="22" xr:uid="{B9A00C06-1AFD-4A9C-BA4F-0FA93ADD53FE}"/>
    <cellStyle name="Comma [0] 3" xfId="7" xr:uid="{EAF6EF1C-403D-4749-AFF8-4816D9A16BE0}"/>
    <cellStyle name="Comma 2" xfId="6" xr:uid="{C912908B-9CF8-44B5-8E36-5C540B938690}"/>
    <cellStyle name="Comma 3" xfId="23" xr:uid="{8E7CB395-AAAD-43EB-A1AC-500E62F53A1D}"/>
    <cellStyle name="Currency [0] 2" xfId="9" xr:uid="{20C00225-C56D-4A0C-AD02-A2329EBDC0AB}"/>
    <cellStyle name="Currency 2" xfId="8" xr:uid="{7219E92B-87CA-49F7-A1E1-71A40A37613E}"/>
    <cellStyle name="Currency 3" xfId="24" xr:uid="{77909FE9-CBC2-4A14-88B0-B7C803DD4C68}"/>
    <cellStyle name="Date" xfId="14" xr:uid="{EA954F0E-A737-4CAC-8B92-2B9BD80DB1BB}"/>
    <cellStyle name="Header Row" xfId="13" xr:uid="{C165D902-43CA-4FD4-A2B5-CF89E7F208BC}"/>
    <cellStyle name="Heading 1 2" xfId="2" xr:uid="{B89456D5-BA7B-4D77-9097-D5D954ECC025}"/>
    <cellStyle name="Heading 2 2" xfId="3" xr:uid="{B84D428E-1F57-4DB4-93F2-3007DAD7CB04}"/>
    <cellStyle name="Heading 3 2" xfId="4" xr:uid="{18B3B8A9-F6D2-4984-A55B-1A4A7DB3734C}"/>
    <cellStyle name="Heading 4 2" xfId="5" xr:uid="{B01D42AE-A356-42DB-8062-64D49F0CD21F}"/>
    <cellStyle name="Label Text" xfId="12" xr:uid="{8DAF4BE8-49AD-453B-B9AD-2AE2143B47A3}"/>
    <cellStyle name="Normal" xfId="0" builtinId="0"/>
    <cellStyle name="Normal 2" xfId="19" xr:uid="{E4305336-A9F2-4D27-995C-8E93925AF940}"/>
    <cellStyle name="Normal 3" xfId="20" xr:uid="{52D62F16-C0FD-4323-88B2-4EAF1989A1D8}"/>
    <cellStyle name="Normal 4" xfId="1" xr:uid="{7E6B83B7-4A24-4B58-9226-142916D3E333}"/>
    <cellStyle name="Normal 7" xfId="21" xr:uid="{89EB28DF-FEE1-4627-9E4E-5116D4F30ED1}"/>
    <cellStyle name="Percent 2" xfId="10" xr:uid="{F2E50E1C-8173-462D-847F-846F0A3FC424}"/>
    <cellStyle name="Subtotal" xfId="16" xr:uid="{52506097-B6DE-46CF-847F-7E72230D7B19}"/>
    <cellStyle name="Table Text" xfId="15" xr:uid="{D35620E0-84DF-4090-BC41-69972C1F1440}"/>
    <cellStyle name="Title 2" xfId="18" xr:uid="{143BED50-DA1E-4AB6-BC04-E996F8AAB95D}"/>
    <cellStyle name="Total 2" xfId="11" xr:uid="{2D2DB310-C335-4091-912F-00F6BC7E085A}"/>
  </cellStyles>
  <dxfs count="3">
    <dxf>
      <font>
        <b/>
        <i val="0"/>
      </font>
      <border>
        <bottom style="medium">
          <color theme="5" tint="-0.749961851863155"/>
        </bottom>
      </border>
    </dxf>
    <dxf>
      <font>
        <b/>
        <i val="0"/>
        <strike val="0"/>
        <color theme="5" tint="-0.749961851863155"/>
      </font>
      <fill>
        <patternFill patternType="solid">
          <fgColor auto="1"/>
          <bgColor theme="0" tint="-4.9989318521683403E-2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color theme="4" tint="-0.24994659260841701"/>
      </font>
      <fill>
        <patternFill>
          <bgColor theme="0" tint="-4.9989318521683403E-2"/>
        </patternFill>
      </fill>
      <border>
        <left/>
        <right/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4FCF6FB-A652-45DF-9F11-DFA1D34AF7C8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usiness">
  <a:themeElements>
    <a:clrScheme name="Expense Report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F487C"/>
      </a:accent1>
      <a:accent2>
        <a:srgbClr val="F7F5E4"/>
      </a:accent2>
      <a:accent3>
        <a:srgbClr val="333956"/>
      </a:accent3>
      <a:accent4>
        <a:srgbClr val="51648F"/>
      </a:accent4>
      <a:accent5>
        <a:srgbClr val="558DD4"/>
      </a:accent5>
      <a:accent6>
        <a:srgbClr val="59531D"/>
      </a:accent6>
      <a:hlink>
        <a:srgbClr val="0563C1"/>
      </a:hlink>
      <a:folHlink>
        <a:srgbClr val="954F72"/>
      </a:folHlink>
    </a:clrScheme>
    <a:fontScheme name="Custom 56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0"/>
  <sheetViews>
    <sheetView tabSelected="1" zoomScaleNormal="100" workbookViewId="0">
      <selection activeCell="C18" sqref="C18"/>
    </sheetView>
  </sheetViews>
  <sheetFormatPr defaultRowHeight="15.75" customHeight="1"/>
  <cols>
    <col min="3" max="3" width="25.6640625" customWidth="1"/>
    <col min="4" max="4" width="35.6640625" customWidth="1"/>
  </cols>
  <sheetData>
    <row r="2" spans="1:4">
      <c r="A2" s="1" t="s">
        <v>0</v>
      </c>
      <c r="B2" s="2" t="s">
        <v>1</v>
      </c>
      <c r="C2" s="3"/>
      <c r="D2" s="4"/>
    </row>
    <row r="3" spans="1:4">
      <c r="A3" s="1" t="s">
        <v>2</v>
      </c>
      <c r="B3" s="2" t="s">
        <v>1</v>
      </c>
      <c r="C3" s="5"/>
      <c r="D3" s="6"/>
    </row>
    <row r="4" spans="1:4">
      <c r="A4" s="1" t="s">
        <v>3</v>
      </c>
      <c r="B4" s="2" t="s">
        <v>1</v>
      </c>
      <c r="C4" s="5"/>
      <c r="D4" s="6"/>
    </row>
    <row r="5" spans="1:4">
      <c r="A5" s="1" t="s">
        <v>4</v>
      </c>
      <c r="B5" s="2" t="s">
        <v>1</v>
      </c>
      <c r="C5" s="7"/>
      <c r="D5" s="8"/>
    </row>
    <row r="6" spans="1:4">
      <c r="A6" s="1" t="s">
        <v>5</v>
      </c>
      <c r="B6" s="2" t="s">
        <v>1</v>
      </c>
      <c r="C6" s="3" t="s">
        <v>6</v>
      </c>
      <c r="D6" s="4"/>
    </row>
    <row r="7" spans="1:4">
      <c r="A7" s="9" t="s">
        <v>7</v>
      </c>
      <c r="B7" s="9"/>
      <c r="C7" s="10">
        <v>0</v>
      </c>
      <c r="D7" s="80" t="s">
        <v>205</v>
      </c>
    </row>
    <row r="10" spans="1:4">
      <c r="B10" s="12" t="s">
        <v>8</v>
      </c>
      <c r="C10" s="12" t="s">
        <v>9</v>
      </c>
      <c r="D10" s="12" t="s">
        <v>10</v>
      </c>
    </row>
    <row r="11" spans="1:4" ht="16.5" customHeight="1">
      <c r="B11" s="13">
        <v>1</v>
      </c>
      <c r="C11" s="14"/>
      <c r="D11" s="15" t="s">
        <v>11</v>
      </c>
    </row>
    <row r="12" spans="1:4" ht="16.5" customHeight="1">
      <c r="B12" s="13">
        <v>2</v>
      </c>
      <c r="C12" s="14"/>
      <c r="D12" s="15" t="s">
        <v>12</v>
      </c>
    </row>
    <row r="13" spans="1:4" ht="16.5" customHeight="1">
      <c r="B13" s="13">
        <v>3</v>
      </c>
      <c r="C13" s="14"/>
      <c r="D13" s="15" t="s">
        <v>13</v>
      </c>
    </row>
    <row r="14" spans="1:4" ht="16.5" customHeight="1">
      <c r="B14" s="13">
        <v>4</v>
      </c>
      <c r="C14" s="14"/>
      <c r="D14" s="15" t="s">
        <v>15</v>
      </c>
    </row>
    <row r="15" spans="1:4" ht="16.5" customHeight="1">
      <c r="B15" s="13">
        <v>5</v>
      </c>
      <c r="C15" s="14"/>
      <c r="D15" s="15" t="s">
        <v>16</v>
      </c>
    </row>
    <row r="16" spans="1:4" ht="16.5" customHeight="1">
      <c r="B16" s="13">
        <v>6</v>
      </c>
      <c r="C16" s="14"/>
      <c r="D16" s="15" t="s">
        <v>17</v>
      </c>
    </row>
    <row r="17" spans="2:4" ht="16.5" customHeight="1">
      <c r="B17" s="13">
        <v>7</v>
      </c>
      <c r="C17" s="14"/>
      <c r="D17" s="15">
        <v>3</v>
      </c>
    </row>
    <row r="18" spans="2:4" ht="16.5" customHeight="1">
      <c r="B18" s="13">
        <v>8</v>
      </c>
      <c r="C18" s="14"/>
      <c r="D18" s="16">
        <v>0.125</v>
      </c>
    </row>
    <row r="19" spans="2:4" ht="16.5" customHeight="1">
      <c r="B19" s="13">
        <v>9</v>
      </c>
      <c r="C19" s="14"/>
      <c r="D19" s="15" t="s">
        <v>18</v>
      </c>
    </row>
    <row r="20" spans="2:4" ht="16.5" customHeight="1">
      <c r="B20" s="13">
        <v>10</v>
      </c>
      <c r="C20" s="14"/>
      <c r="D20" s="15" t="s">
        <v>19</v>
      </c>
    </row>
    <row r="21" spans="2:4" ht="16.5" customHeight="1">
      <c r="B21" s="13">
        <v>11</v>
      </c>
      <c r="C21" s="14"/>
      <c r="D21" s="15" t="s">
        <v>20</v>
      </c>
    </row>
    <row r="22" spans="2:4" ht="16.5" customHeight="1">
      <c r="B22" s="13">
        <v>12</v>
      </c>
      <c r="C22" s="14"/>
      <c r="D22" s="15">
        <v>6000</v>
      </c>
    </row>
    <row r="23" spans="2:4" ht="16.5" customHeight="1">
      <c r="B23" s="13">
        <v>13</v>
      </c>
      <c r="C23" s="14"/>
      <c r="D23" s="15" t="s">
        <v>21</v>
      </c>
    </row>
    <row r="24" spans="2:4" ht="16.5" customHeight="1">
      <c r="B24" s="13">
        <v>14</v>
      </c>
      <c r="C24" s="14"/>
      <c r="D24" s="15" t="s">
        <v>22</v>
      </c>
    </row>
    <row r="25" spans="2:4" ht="16.5" customHeight="1">
      <c r="B25" s="13">
        <v>15</v>
      </c>
      <c r="C25" s="14"/>
      <c r="D25" s="15">
        <v>20</v>
      </c>
    </row>
    <row r="26" spans="2:4" ht="16.5" customHeight="1">
      <c r="B26" s="13">
        <v>16</v>
      </c>
      <c r="C26" s="14"/>
      <c r="D26" s="15">
        <v>2</v>
      </c>
    </row>
    <row r="27" spans="2:4" ht="16.5" customHeight="1">
      <c r="B27" s="13">
        <v>17</v>
      </c>
      <c r="C27" s="14"/>
      <c r="D27" s="15" t="s">
        <v>23</v>
      </c>
    </row>
    <row r="28" spans="2:4" ht="16.5" customHeight="1">
      <c r="B28" s="13">
        <v>18</v>
      </c>
      <c r="C28" s="14"/>
      <c r="D28" s="15">
        <v>13</v>
      </c>
    </row>
    <row r="29" spans="2:4" ht="16.5" customHeight="1">
      <c r="B29" s="13">
        <v>19</v>
      </c>
      <c r="C29" s="14"/>
      <c r="D29" s="15" t="s">
        <v>24</v>
      </c>
    </row>
    <row r="30" spans="2:4" ht="16.5" customHeight="1">
      <c r="B30" s="13">
        <v>20</v>
      </c>
      <c r="C30" s="14"/>
      <c r="D30" s="15" t="s">
        <v>21</v>
      </c>
    </row>
    <row r="31" spans="2:4" ht="16.5" customHeight="1">
      <c r="B31" s="13">
        <v>21</v>
      </c>
      <c r="C31" s="14"/>
      <c r="D31" s="15">
        <v>20</v>
      </c>
    </row>
    <row r="32" spans="2:4" ht="16.5" customHeight="1">
      <c r="B32" s="13">
        <v>22</v>
      </c>
      <c r="C32" s="14"/>
      <c r="D32" s="15" t="s">
        <v>26</v>
      </c>
    </row>
    <row r="33" spans="2:4" ht="16.5" customHeight="1">
      <c r="B33" s="13">
        <v>23</v>
      </c>
      <c r="C33" s="14"/>
      <c r="D33" s="15" t="s">
        <v>27</v>
      </c>
    </row>
    <row r="34" spans="2:4" ht="16.5" customHeight="1">
      <c r="B34" s="13">
        <v>24</v>
      </c>
      <c r="C34" s="14"/>
      <c r="D34" s="15">
        <v>2</v>
      </c>
    </row>
    <row r="35" spans="2:4" ht="16.5" customHeight="1">
      <c r="B35" s="13">
        <v>25</v>
      </c>
      <c r="C35" s="14"/>
      <c r="D35" s="15" t="s">
        <v>24</v>
      </c>
    </row>
    <row r="36" spans="2:4" ht="16.5" customHeight="1">
      <c r="B36" s="13">
        <v>26</v>
      </c>
      <c r="C36" s="14"/>
      <c r="D36" s="15" t="s">
        <v>21</v>
      </c>
    </row>
    <row r="37" spans="2:4" ht="16.5" customHeight="1">
      <c r="B37" s="13">
        <v>27</v>
      </c>
      <c r="C37" s="14"/>
      <c r="D37" s="16">
        <v>3.3333333333333333E-2</v>
      </c>
    </row>
    <row r="38" spans="2:4" ht="16.5" customHeight="1">
      <c r="B38" s="13">
        <v>28</v>
      </c>
      <c r="C38" s="14"/>
      <c r="D38" s="15" t="s">
        <v>24</v>
      </c>
    </row>
    <row r="39" spans="2:4" ht="16.5" customHeight="1">
      <c r="B39" s="13">
        <v>29</v>
      </c>
      <c r="C39" s="14"/>
      <c r="D39" s="15">
        <v>6</v>
      </c>
    </row>
    <row r="40" spans="2:4" ht="16.5" customHeight="1">
      <c r="B40" s="13">
        <v>30</v>
      </c>
      <c r="C40" s="14"/>
      <c r="D40" s="15">
        <v>10</v>
      </c>
    </row>
    <row r="41" spans="2:4" ht="16.5" customHeight="1">
      <c r="B41" s="13">
        <v>31</v>
      </c>
      <c r="C41" s="14"/>
      <c r="D41" s="16">
        <v>0.1111111111111111</v>
      </c>
    </row>
    <row r="42" spans="2:4" ht="16.5" customHeight="1">
      <c r="B42" s="13">
        <v>32</v>
      </c>
      <c r="C42" s="14"/>
      <c r="D42" s="15" t="s">
        <v>14</v>
      </c>
    </row>
    <row r="43" spans="2:4" ht="16.5" customHeight="1">
      <c r="B43" s="13">
        <v>33</v>
      </c>
      <c r="C43" s="14"/>
      <c r="D43" s="15" t="s">
        <v>24</v>
      </c>
    </row>
    <row r="44" spans="2:4" ht="16.5" customHeight="1">
      <c r="B44" s="13">
        <v>34</v>
      </c>
      <c r="C44" s="14"/>
      <c r="D44" s="15">
        <v>20</v>
      </c>
    </row>
    <row r="45" spans="2:4" ht="16.5" customHeight="1">
      <c r="B45" s="13">
        <v>35</v>
      </c>
      <c r="C45" s="14"/>
      <c r="D45" s="16">
        <v>0.25</v>
      </c>
    </row>
    <row r="46" spans="2:4" ht="16.5" customHeight="1">
      <c r="B46" s="13">
        <v>36</v>
      </c>
      <c r="C46" s="14"/>
      <c r="D46" s="15">
        <v>24</v>
      </c>
    </row>
    <row r="47" spans="2:4" ht="16.5" customHeight="1">
      <c r="B47" s="13">
        <v>37</v>
      </c>
      <c r="C47" s="14"/>
      <c r="D47" s="15">
        <v>6.25E-2</v>
      </c>
    </row>
    <row r="48" spans="2:4" ht="16.5" customHeight="1">
      <c r="B48" s="13">
        <v>38</v>
      </c>
      <c r="C48" s="14"/>
      <c r="D48" s="15" t="s">
        <v>28</v>
      </c>
    </row>
    <row r="49" spans="2:4" ht="16.5" customHeight="1">
      <c r="B49" s="13">
        <v>39</v>
      </c>
      <c r="C49" s="14"/>
      <c r="D49" s="15" t="s">
        <v>29</v>
      </c>
    </row>
    <row r="50" spans="2:4" ht="16.5" customHeight="1">
      <c r="B50" s="13">
        <v>40</v>
      </c>
      <c r="C50" s="14"/>
      <c r="D50" s="15">
        <v>1</v>
      </c>
    </row>
    <row r="51" spans="2:4" ht="16.5" customHeight="1">
      <c r="B51" s="13">
        <v>41</v>
      </c>
      <c r="C51" s="14"/>
      <c r="D51" s="15" t="s">
        <v>30</v>
      </c>
    </row>
    <row r="52" spans="2:4" ht="16.5" customHeight="1">
      <c r="B52" s="13">
        <v>42</v>
      </c>
      <c r="C52" s="14"/>
      <c r="D52" s="15" t="s">
        <v>31</v>
      </c>
    </row>
    <row r="53" spans="2:4" ht="16.5" customHeight="1">
      <c r="B53" s="13">
        <v>43</v>
      </c>
      <c r="C53" s="14"/>
      <c r="D53" s="15">
        <v>0.33</v>
      </c>
    </row>
    <row r="54" spans="2:4" ht="16.5" customHeight="1">
      <c r="B54" s="13">
        <v>44</v>
      </c>
      <c r="C54" s="14"/>
      <c r="D54" s="15" t="s">
        <v>29</v>
      </c>
    </row>
    <row r="55" spans="2:4" ht="16.5" customHeight="1">
      <c r="B55" s="13">
        <v>45</v>
      </c>
      <c r="C55" s="14"/>
      <c r="D55" s="15">
        <v>24</v>
      </c>
    </row>
    <row r="56" spans="2:4" ht="16.5" customHeight="1">
      <c r="B56" s="13">
        <v>46</v>
      </c>
      <c r="C56" s="14"/>
      <c r="D56" s="15" t="s">
        <v>32</v>
      </c>
    </row>
    <row r="57" spans="2:4" ht="16.5" customHeight="1">
      <c r="B57" s="13">
        <v>47</v>
      </c>
      <c r="C57" s="14"/>
      <c r="D57" s="15" t="s">
        <v>33</v>
      </c>
    </row>
    <row r="58" spans="2:4" ht="16.5" customHeight="1">
      <c r="B58" s="13">
        <v>48</v>
      </c>
      <c r="C58" s="14"/>
      <c r="D58" s="15">
        <v>175</v>
      </c>
    </row>
    <row r="59" spans="2:4" ht="16.5" customHeight="1">
      <c r="B59" s="13">
        <v>49</v>
      </c>
      <c r="C59" s="14"/>
      <c r="D59" s="15" t="s">
        <v>34</v>
      </c>
    </row>
    <row r="60" spans="2:4" ht="16.5" customHeight="1">
      <c r="B60" s="13">
        <v>50</v>
      </c>
      <c r="C60" s="14"/>
      <c r="D60" s="1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5"/>
  <sheetViews>
    <sheetView topLeftCell="J1" zoomScaleNormal="100" workbookViewId="0">
      <selection activeCell="L16" sqref="L16"/>
    </sheetView>
  </sheetViews>
  <sheetFormatPr defaultRowHeight="15.75" customHeight="1"/>
  <cols>
    <col min="2" max="20" width="3.6640625" customWidth="1"/>
    <col min="21" max="21" width="9.88671875" customWidth="1"/>
    <col min="22" max="22" width="29.44140625" customWidth="1"/>
    <col min="23" max="23" width="5.21875" customWidth="1"/>
    <col min="24" max="32" width="0" hidden="1" customWidth="1"/>
    <col min="33" max="33" width="3.6640625" customWidth="1"/>
    <col min="34" max="34" width="12.21875" customWidth="1"/>
  </cols>
  <sheetData>
    <row r="1" spans="2:34" ht="23.25" customHeight="1">
      <c r="B1" s="17" t="s">
        <v>35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12" t="s">
        <v>36</v>
      </c>
      <c r="V1" s="113"/>
      <c r="W1" s="19" t="s">
        <v>37</v>
      </c>
      <c r="X1" s="20"/>
      <c r="Y1" s="20"/>
      <c r="Z1" s="20"/>
      <c r="AA1" s="20"/>
      <c r="AB1" s="20"/>
      <c r="AC1" s="20"/>
      <c r="AD1" s="20"/>
      <c r="AE1" s="20"/>
      <c r="AF1" s="20"/>
      <c r="AG1" s="19" t="s">
        <v>38</v>
      </c>
      <c r="AH1" s="21" t="s">
        <v>39</v>
      </c>
    </row>
    <row r="2" spans="2:34">
      <c r="B2" s="81">
        <v>81</v>
      </c>
      <c r="C2" s="82"/>
      <c r="D2" s="81">
        <v>71</v>
      </c>
      <c r="E2" s="82"/>
      <c r="F2" s="81">
        <v>61</v>
      </c>
      <c r="G2" s="82"/>
      <c r="H2" s="81">
        <v>51</v>
      </c>
      <c r="I2" s="82"/>
      <c r="J2" s="81">
        <v>41</v>
      </c>
      <c r="K2" s="82"/>
      <c r="L2" s="81">
        <v>31</v>
      </c>
      <c r="M2" s="82"/>
      <c r="N2" s="81">
        <v>21</v>
      </c>
      <c r="O2" s="82"/>
      <c r="P2" s="81">
        <v>11</v>
      </c>
      <c r="Q2" s="82"/>
      <c r="R2" s="81">
        <v>1</v>
      </c>
      <c r="S2" s="82"/>
      <c r="T2" s="18"/>
      <c r="U2" s="108" t="s">
        <v>41</v>
      </c>
      <c r="V2" s="22" t="s">
        <v>42</v>
      </c>
      <c r="W2" s="23" t="s">
        <v>43</v>
      </c>
      <c r="X2" s="20">
        <f>IF(S3="b",1,0)</f>
        <v>0</v>
      </c>
      <c r="Y2" s="20">
        <f>IF(Q4="b",1,0)</f>
        <v>0</v>
      </c>
      <c r="Z2" s="20">
        <f>IF(O5="b",1,0)</f>
        <v>0</v>
      </c>
      <c r="AA2" s="20">
        <f>IF(M6="b",1,0)</f>
        <v>0</v>
      </c>
      <c r="AB2" s="20">
        <f>IF(K7="b",1,0)</f>
        <v>0</v>
      </c>
      <c r="AC2" s="20">
        <f>IF(I8="b",1,0)</f>
        <v>0</v>
      </c>
      <c r="AD2" s="20">
        <f>IF(G9="b",1,0)</f>
        <v>0</v>
      </c>
      <c r="AE2" s="20">
        <f>IF(E10="b",1,0)</f>
        <v>0</v>
      </c>
      <c r="AF2" s="20">
        <f>IF(C11="b",1,0)</f>
        <v>0</v>
      </c>
      <c r="AG2" s="24">
        <f>SUM(X2:AF2)</f>
        <v>0</v>
      </c>
      <c r="AH2" s="25" t="str">
        <f>IF(AG2&lt;=3,"Cenderung ragu-ragu dalam situasi pengambilan keputusan, cenderung ragu-ragu, menunda atau menghindari situasi pengambilan keputusan",IF(AG2&lt;=4,"Berhati-hati dan cenderung ragu-ragu",IF(AG2&lt;=6,"Cukup bertanggung jawab terhadap pekerjaan","Ketekunan, tanggung jawab terhadap tugas tinggi")))</f>
        <v>Cenderung ragu-ragu dalam situasi pengambilan keputusan, cenderung ragu-ragu, menunda atau menghindari situasi pengambilan keputusan</v>
      </c>
    </row>
    <row r="3" spans="2:34">
      <c r="B3" s="81">
        <v>82</v>
      </c>
      <c r="C3" s="82"/>
      <c r="D3" s="81">
        <v>72</v>
      </c>
      <c r="E3" s="82"/>
      <c r="F3" s="81">
        <v>62</v>
      </c>
      <c r="G3" s="82"/>
      <c r="H3" s="81">
        <v>52</v>
      </c>
      <c r="I3" s="82"/>
      <c r="J3" s="81">
        <v>42</v>
      </c>
      <c r="K3" s="82"/>
      <c r="L3" s="81">
        <v>32</v>
      </c>
      <c r="M3" s="82"/>
      <c r="N3" s="81">
        <v>22</v>
      </c>
      <c r="O3" s="82"/>
      <c r="P3" s="81">
        <v>12</v>
      </c>
      <c r="Q3" s="82"/>
      <c r="R3" s="81">
        <v>2</v>
      </c>
      <c r="S3" s="82"/>
      <c r="T3" s="18"/>
      <c r="U3" s="109"/>
      <c r="V3" s="22" t="s">
        <v>45</v>
      </c>
      <c r="W3" s="23" t="s">
        <v>46</v>
      </c>
      <c r="X3" s="20">
        <f>IF(S2="a",1,0)</f>
        <v>0</v>
      </c>
      <c r="Y3" s="20">
        <f>IF(Q2="a",1,0)</f>
        <v>0</v>
      </c>
      <c r="Z3" s="20">
        <f>IF(O2="a",1,0)</f>
        <v>0</v>
      </c>
      <c r="AA3" s="20">
        <f>IF(M2="a",1,0)</f>
        <v>0</v>
      </c>
      <c r="AB3" s="20">
        <f>IF(K2="a",1,0)</f>
        <v>0</v>
      </c>
      <c r="AC3" s="20">
        <f>IF(I2="a",1,0)</f>
        <v>0</v>
      </c>
      <c r="AD3" s="20">
        <f>IF(G2="a",1,0)</f>
        <v>0</v>
      </c>
      <c r="AE3" s="20">
        <f>IF(E2="a",1,0)</f>
        <v>0</v>
      </c>
      <c r="AF3" s="20">
        <f>IF(C2="a",1,0)</f>
        <v>0</v>
      </c>
      <c r="AG3" s="24">
        <f t="shared" ref="AG3:AG21" si="0">SUM(X3:AF3)</f>
        <v>0</v>
      </c>
      <c r="AH3" s="25" t="str">
        <f>IF(AG3&lt;=4,"Bekerja hanya untuk mengejar kesenangan saja bukan untuk memberikan suatu hasil yang baik","Kemauan bekerja keras tinggi")</f>
        <v>Bekerja hanya untuk mengejar kesenangan saja bukan untuk memberikan suatu hasil yang baik</v>
      </c>
    </row>
    <row r="4" spans="2:34">
      <c r="B4" s="81">
        <v>83</v>
      </c>
      <c r="C4" s="82"/>
      <c r="D4" s="81">
        <v>73</v>
      </c>
      <c r="E4" s="82"/>
      <c r="F4" s="81">
        <v>63</v>
      </c>
      <c r="G4" s="82"/>
      <c r="H4" s="81">
        <v>53</v>
      </c>
      <c r="I4" s="82"/>
      <c r="J4" s="81">
        <v>43</v>
      </c>
      <c r="K4" s="82"/>
      <c r="L4" s="81">
        <v>33</v>
      </c>
      <c r="M4" s="82"/>
      <c r="N4" s="81">
        <v>23</v>
      </c>
      <c r="O4" s="82"/>
      <c r="P4" s="81">
        <v>13</v>
      </c>
      <c r="Q4" s="82"/>
      <c r="R4" s="81">
        <v>3</v>
      </c>
      <c r="S4" s="82"/>
      <c r="T4" s="18"/>
      <c r="U4" s="109"/>
      <c r="V4" s="22" t="s">
        <v>47</v>
      </c>
      <c r="W4" s="23" t="s">
        <v>44</v>
      </c>
      <c r="X4" s="20">
        <f>IF(S3="a",1,0)</f>
        <v>0</v>
      </c>
      <c r="Y4" s="20">
        <f>IF(S4="b",1,0)</f>
        <v>0</v>
      </c>
      <c r="Z4" s="20">
        <f>IF(Q5="b",1,0)</f>
        <v>0</v>
      </c>
      <c r="AA4" s="20">
        <f>IF(O6="b",1,0)</f>
        <v>0</v>
      </c>
      <c r="AB4" s="20">
        <f>IF(M7="b",1,0)</f>
        <v>0</v>
      </c>
      <c r="AC4" s="20">
        <f>IF(K8="b",1,0)</f>
        <v>0</v>
      </c>
      <c r="AD4" s="20">
        <f>IF(I9="b",1,0)</f>
        <v>0</v>
      </c>
      <c r="AE4" s="20">
        <f>IF(G10="b",1,0)</f>
        <v>0</v>
      </c>
      <c r="AF4" s="20">
        <f>IF(E11="b",1,0)</f>
        <v>0</v>
      </c>
      <c r="AG4" s="24">
        <f t="shared" si="0"/>
        <v>0</v>
      </c>
      <c r="AH4" s="25" t="str">
        <f>IF(AG4&lt;=5,"Mencerminkan ketidakpastian tujuan. Juga mencerminkan kepuasan dalam suatu pekerjaan, tidak perlu melanjutkan usaha untuk sukses","Tujuan-tujuan didefinisikan secara jelas, kebutuhan untuk sukses tinggi, ambisi pribadi tinggi")</f>
        <v>Mencerminkan ketidakpastian tujuan. Juga mencerminkan kepuasan dalam suatu pekerjaan, tidak perlu melanjutkan usaha untuk sukses</v>
      </c>
    </row>
    <row r="5" spans="2:34">
      <c r="B5" s="81">
        <v>84</v>
      </c>
      <c r="C5" s="82"/>
      <c r="D5" s="81">
        <v>74</v>
      </c>
      <c r="E5" s="82"/>
      <c r="F5" s="81">
        <v>64</v>
      </c>
      <c r="G5" s="82"/>
      <c r="H5" s="81">
        <v>54</v>
      </c>
      <c r="I5" s="82"/>
      <c r="J5" s="81">
        <v>44</v>
      </c>
      <c r="K5" s="82"/>
      <c r="L5" s="81">
        <v>34</v>
      </c>
      <c r="M5" s="82"/>
      <c r="N5" s="81">
        <v>24</v>
      </c>
      <c r="O5" s="82"/>
      <c r="P5" s="81">
        <v>14</v>
      </c>
      <c r="Q5" s="82"/>
      <c r="R5" s="81">
        <v>4</v>
      </c>
      <c r="S5" s="82"/>
      <c r="T5" s="18"/>
      <c r="U5" s="108" t="s">
        <v>48</v>
      </c>
      <c r="V5" s="26" t="s">
        <v>49</v>
      </c>
      <c r="W5" s="23" t="s">
        <v>50</v>
      </c>
      <c r="X5" s="20">
        <f>IF(Q3="a",1,0)</f>
        <v>0</v>
      </c>
      <c r="Y5" s="20">
        <f>IF(O3="a",1,0)</f>
        <v>0</v>
      </c>
      <c r="Z5" s="20">
        <f>IF(M3="a",1,0)</f>
        <v>0</v>
      </c>
      <c r="AA5" s="20">
        <f>IF(K3="a",1,0)</f>
        <v>0</v>
      </c>
      <c r="AB5" s="20">
        <f>IF(I3="a",1,0)</f>
        <v>0</v>
      </c>
      <c r="AC5" s="20">
        <f>IF(G3="a",1,0)</f>
        <v>0</v>
      </c>
      <c r="AD5" s="20">
        <f>IF(E3="a",1,0)</f>
        <v>0</v>
      </c>
      <c r="AE5" s="20">
        <f>IF(C3="a",1,0)</f>
        <v>0</v>
      </c>
      <c r="AF5" s="20">
        <f>IF(C2="b",1,0)</f>
        <v>0</v>
      </c>
      <c r="AG5" s="24">
        <f t="shared" si="0"/>
        <v>0</v>
      </c>
      <c r="AH5" s="25" t="str">
        <f>IF(AG5&lt;=4,"Cenderung tidak suka aktif menggunakan orang lain dalam bekerja","Yaitu tingkat dimana seseorang memproyeksikan dirinya sebagai pemimpin suatu tingkat, dimana ia mencoba menggunakan orang lain untuk mencapai tujuannya. Nilai S menunjukkan apakah pola kepemimpinannya bersifat persuasive, demokratis, atau otoriter")</f>
        <v>Cenderung tidak suka aktif menggunakan orang lain dalam bekerja</v>
      </c>
    </row>
    <row r="6" spans="2:34">
      <c r="B6" s="81">
        <v>85</v>
      </c>
      <c r="C6" s="82"/>
      <c r="D6" s="81">
        <v>75</v>
      </c>
      <c r="E6" s="82"/>
      <c r="F6" s="81">
        <v>65</v>
      </c>
      <c r="G6" s="82"/>
      <c r="H6" s="81">
        <v>55</v>
      </c>
      <c r="I6" s="82"/>
      <c r="J6" s="81">
        <v>45</v>
      </c>
      <c r="K6" s="82"/>
      <c r="L6" s="81">
        <v>35</v>
      </c>
      <c r="M6" s="82"/>
      <c r="N6" s="81">
        <v>25</v>
      </c>
      <c r="O6" s="82"/>
      <c r="P6" s="81">
        <v>15</v>
      </c>
      <c r="Q6" s="82"/>
      <c r="R6" s="81">
        <v>5</v>
      </c>
      <c r="S6" s="82"/>
      <c r="T6" s="18"/>
      <c r="U6" s="109"/>
      <c r="V6" s="26" t="s">
        <v>51</v>
      </c>
      <c r="W6" s="23" t="s">
        <v>52</v>
      </c>
      <c r="X6" s="20">
        <f>IF(Q4="a",1,0)</f>
        <v>0</v>
      </c>
      <c r="Y6" s="20">
        <f>IF(S4="a",1,0)</f>
        <v>0</v>
      </c>
      <c r="Z6" s="20">
        <f>IF(S5="b",1,0)</f>
        <v>0</v>
      </c>
      <c r="AA6" s="20">
        <f>IF(Q6="b",1,0)</f>
        <v>0</v>
      </c>
      <c r="AB6" s="20">
        <f>IF(O7="b",1,0)</f>
        <v>0</v>
      </c>
      <c r="AC6" s="20">
        <f>IF(M8="b",1,0)</f>
        <v>0</v>
      </c>
      <c r="AD6" s="20">
        <f>IF(K9="b",1,0)</f>
        <v>0</v>
      </c>
      <c r="AE6" s="20">
        <f>IF(I10="b",1,0)</f>
        <v>0</v>
      </c>
      <c r="AF6" s="20">
        <f>IF(G11="b",1,0)</f>
        <v>0</v>
      </c>
      <c r="AG6" s="24">
        <f t="shared" si="0"/>
        <v>0</v>
      </c>
      <c r="AH6" s="25" t="str">
        <f>IF(AG6&lt;=4,"Menurunnya keinginan untuk bertanggung jawab terhadap pekerjaan dan tindakan orang lain","Tingkat kebutuhan untuk menerima tanggung jawab orang lain, menjadi orang yang bertanggung jawab")</f>
        <v>Menurunnya keinginan untuk bertanggung jawab terhadap pekerjaan dan tindakan orang lain</v>
      </c>
    </row>
    <row r="7" spans="2:34">
      <c r="B7" s="81">
        <v>86</v>
      </c>
      <c r="C7" s="82"/>
      <c r="D7" s="81">
        <v>76</v>
      </c>
      <c r="E7" s="82"/>
      <c r="F7" s="81">
        <v>66</v>
      </c>
      <c r="G7" s="82"/>
      <c r="H7" s="81">
        <v>56</v>
      </c>
      <c r="I7" s="82"/>
      <c r="J7" s="81">
        <v>46</v>
      </c>
      <c r="K7" s="82"/>
      <c r="L7" s="81">
        <v>36</v>
      </c>
      <c r="M7" s="82"/>
      <c r="N7" s="81">
        <v>26</v>
      </c>
      <c r="O7" s="82"/>
      <c r="P7" s="81">
        <v>16</v>
      </c>
      <c r="Q7" s="82"/>
      <c r="R7" s="81">
        <v>6</v>
      </c>
      <c r="S7" s="82"/>
      <c r="T7" s="18"/>
      <c r="U7" s="109"/>
      <c r="V7" s="26" t="s">
        <v>53</v>
      </c>
      <c r="W7" s="23" t="s">
        <v>54</v>
      </c>
      <c r="X7" s="20">
        <f>IF(O4="a",1,0)</f>
        <v>0</v>
      </c>
      <c r="Y7" s="20">
        <f>IF(M4="a",1,0)</f>
        <v>0</v>
      </c>
      <c r="Z7" s="20">
        <f>IF(K4="a",1,0)</f>
        <v>0</v>
      </c>
      <c r="AA7" s="20">
        <f>IF(I4="a",1,0)</f>
        <v>0</v>
      </c>
      <c r="AB7" s="20">
        <f>IF(G4="a",1,0)</f>
        <v>0</v>
      </c>
      <c r="AC7" s="20">
        <f>IF(E4="a",1,0)</f>
        <v>0</v>
      </c>
      <c r="AD7" s="20">
        <f>IF(C4="a",1,0)</f>
        <v>0</v>
      </c>
      <c r="AE7" s="20">
        <f>IF(C3="b",1,0)</f>
        <v>0</v>
      </c>
      <c r="AF7" s="20">
        <f>IF(E2="b",1,0)</f>
        <v>0</v>
      </c>
      <c r="AG7" s="24">
        <f t="shared" si="0"/>
        <v>0</v>
      </c>
      <c r="AH7" s="25" t="str">
        <f>IF(AG7&lt;=3,"Ragu-ragu sampai penundaan/menolak situasi pengambilan keputusan",IF(AG7&lt;=4,"Berhati-hati sampai ragu-ragu dalam membuat keputusan",IF(AG7&lt;=7,"Mudah dan lancar sampai berhati-hati dalam membuat keputusan","Tidak ragu-ragu dalam proses pengambilan keputusan")))</f>
        <v>Ragu-ragu sampai penundaan/menolak situasi pengambilan keputusan</v>
      </c>
    </row>
    <row r="8" spans="2:34">
      <c r="B8" s="81">
        <v>87</v>
      </c>
      <c r="C8" s="82"/>
      <c r="D8" s="81">
        <v>77</v>
      </c>
      <c r="E8" s="82"/>
      <c r="F8" s="81">
        <v>67</v>
      </c>
      <c r="G8" s="82"/>
      <c r="H8" s="81">
        <v>57</v>
      </c>
      <c r="I8" s="82"/>
      <c r="J8" s="81">
        <v>47</v>
      </c>
      <c r="K8" s="82"/>
      <c r="L8" s="81">
        <v>37</v>
      </c>
      <c r="M8" s="82"/>
      <c r="N8" s="81">
        <v>27</v>
      </c>
      <c r="O8" s="82"/>
      <c r="P8" s="81">
        <v>17</v>
      </c>
      <c r="Q8" s="82"/>
      <c r="R8" s="81">
        <v>7</v>
      </c>
      <c r="S8" s="82"/>
      <c r="T8" s="18"/>
      <c r="U8" s="108" t="s">
        <v>55</v>
      </c>
      <c r="V8" s="26" t="s">
        <v>56</v>
      </c>
      <c r="W8" s="23" t="s">
        <v>57</v>
      </c>
      <c r="X8" s="20">
        <f>IF(M5="a",1,0)</f>
        <v>0</v>
      </c>
      <c r="Y8" s="20">
        <f>IF(K5="a",1,0)</f>
        <v>0</v>
      </c>
      <c r="Z8" s="20">
        <f>IF(I5="a",1,0)</f>
        <v>0</v>
      </c>
      <c r="AA8" s="20">
        <f>IF(G5="a",1,0)</f>
        <v>0</v>
      </c>
      <c r="AB8" s="20">
        <f>IF(E5="a",1,0)</f>
        <v>0</v>
      </c>
      <c r="AC8" s="20">
        <f>IF(C5="a",1,0)</f>
        <v>0</v>
      </c>
      <c r="AD8" s="20">
        <f>IF(C4="b",1,0)</f>
        <v>0</v>
      </c>
      <c r="AE8" s="20">
        <f>IF(E3="b",1,0)</f>
        <v>0</v>
      </c>
      <c r="AF8" s="20">
        <f>IF(G2="b",1,0)</f>
        <v>0</v>
      </c>
      <c r="AG8" s="24">
        <f t="shared" si="0"/>
        <v>0</v>
      </c>
      <c r="AH8" s="25" t="str">
        <f>IF(AG8&lt;=3,"Melakukan segala sesuatu menurut kemauannya sendiri","Tergolong aktif secara internal dan mental")</f>
        <v>Melakukan segala sesuatu menurut kemauannya sendiri</v>
      </c>
    </row>
    <row r="9" spans="2:34">
      <c r="B9" s="81">
        <v>88</v>
      </c>
      <c r="C9" s="82"/>
      <c r="D9" s="81">
        <v>78</v>
      </c>
      <c r="E9" s="82"/>
      <c r="F9" s="81">
        <v>68</v>
      </c>
      <c r="G9" s="82"/>
      <c r="H9" s="81">
        <v>58</v>
      </c>
      <c r="I9" s="82"/>
      <c r="J9" s="81">
        <v>48</v>
      </c>
      <c r="K9" s="82"/>
      <c r="L9" s="81">
        <v>38</v>
      </c>
      <c r="M9" s="82"/>
      <c r="N9" s="81">
        <v>28</v>
      </c>
      <c r="O9" s="82"/>
      <c r="P9" s="81">
        <v>18</v>
      </c>
      <c r="Q9" s="82"/>
      <c r="R9" s="81">
        <v>8</v>
      </c>
      <c r="S9" s="82"/>
      <c r="T9" s="18"/>
      <c r="U9" s="109"/>
      <c r="V9" s="26" t="s">
        <v>58</v>
      </c>
      <c r="W9" s="23" t="s">
        <v>59</v>
      </c>
      <c r="X9" s="20">
        <f>IF(K6="a",1,0)</f>
        <v>0</v>
      </c>
      <c r="Y9" s="20">
        <f>IF(I6="a",1,0)</f>
        <v>0</v>
      </c>
      <c r="Z9" s="20">
        <f>IF(G6="a",1,0)</f>
        <v>0</v>
      </c>
      <c r="AA9" s="20">
        <f>IF(E6="a",1,0)</f>
        <v>0</v>
      </c>
      <c r="AB9" s="20">
        <f>IF(C6="a",1,0)</f>
        <v>0</v>
      </c>
      <c r="AC9" s="20">
        <f>IF(C5="b",1,0)</f>
        <v>0</v>
      </c>
      <c r="AD9" s="20">
        <f>IF(E4="b",1,0)</f>
        <v>0</v>
      </c>
      <c r="AE9" s="20">
        <f>IF(G3="b",1,0)</f>
        <v>0</v>
      </c>
      <c r="AF9" s="20">
        <f>IF(I2="b",1,0)</f>
        <v>0</v>
      </c>
      <c r="AG9" s="24">
        <f t="shared" si="0"/>
        <v>0</v>
      </c>
      <c r="AH9" s="25" t="str">
        <f>IF(AG9&lt;=4,"Keaktifannya tergolong rendah, cenderung pasif (hanya duduk-duduk saja)","Keaktifannya secara fisik tergolong agak baik, cenderung tipe sportif")</f>
        <v>Keaktifannya tergolong rendah, cenderung pasif (hanya duduk-duduk saja)</v>
      </c>
    </row>
    <row r="10" spans="2:34">
      <c r="B10" s="81">
        <v>89</v>
      </c>
      <c r="C10" s="82"/>
      <c r="D10" s="81">
        <v>79</v>
      </c>
      <c r="E10" s="82"/>
      <c r="F10" s="81">
        <v>69</v>
      </c>
      <c r="G10" s="82"/>
      <c r="H10" s="81">
        <v>59</v>
      </c>
      <c r="I10" s="82"/>
      <c r="J10" s="81">
        <v>49</v>
      </c>
      <c r="K10" s="82"/>
      <c r="L10" s="81">
        <v>39</v>
      </c>
      <c r="M10" s="82"/>
      <c r="N10" s="81">
        <v>29</v>
      </c>
      <c r="O10" s="82"/>
      <c r="P10" s="81">
        <v>19</v>
      </c>
      <c r="Q10" s="82"/>
      <c r="R10" s="81">
        <v>9</v>
      </c>
      <c r="S10" s="82"/>
      <c r="T10" s="18"/>
      <c r="U10" s="108" t="s">
        <v>60</v>
      </c>
      <c r="V10" s="26" t="s">
        <v>61</v>
      </c>
      <c r="W10" s="23" t="s">
        <v>62</v>
      </c>
      <c r="X10" s="20">
        <f>IF(O5="a",1,0)</f>
        <v>0</v>
      </c>
      <c r="Y10" s="20">
        <f>IF(Q5="a",1,0)</f>
        <v>0</v>
      </c>
      <c r="Z10" s="20">
        <f>IF(S5="a",1,0)</f>
        <v>0</v>
      </c>
      <c r="AA10" s="20">
        <f>IF(S6="b",1,0)</f>
        <v>0</v>
      </c>
      <c r="AB10" s="20">
        <f>IF(Q7="b",1,0)</f>
        <v>0</v>
      </c>
      <c r="AC10" s="20">
        <f>IF(O8="b",1,0)</f>
        <v>0</v>
      </c>
      <c r="AD10" s="20">
        <f>IF(M9="b",1,0)</f>
        <v>0</v>
      </c>
      <c r="AE10" s="20">
        <f>IF(K10="b",1,0)</f>
        <v>0</v>
      </c>
      <c r="AF10" s="20">
        <f>IF(I11="b",1,0)</f>
        <v>0</v>
      </c>
      <c r="AG10" s="24">
        <f t="shared" si="0"/>
        <v>0</v>
      </c>
      <c r="AH10" s="25" t="str">
        <f>IF(AG10&lt;=1,"Cenderung pemalu, suka menyendiri",IF(AG10&lt;=3,"Rendah hati, tulus",IF(AG10&lt;=5,"Khusus, memiliki pola yang nyata","Membutuhkan perhatian yang nyata")))</f>
        <v>Cenderung pemalu, suka menyendiri</v>
      </c>
    </row>
    <row r="11" spans="2:34">
      <c r="B11" s="81">
        <v>90</v>
      </c>
      <c r="C11" s="82"/>
      <c r="D11" s="81">
        <v>80</v>
      </c>
      <c r="E11" s="82"/>
      <c r="F11" s="81">
        <v>70</v>
      </c>
      <c r="G11" s="82"/>
      <c r="H11" s="81">
        <v>60</v>
      </c>
      <c r="I11" s="82"/>
      <c r="J11" s="81">
        <v>50</v>
      </c>
      <c r="K11" s="82"/>
      <c r="L11" s="81">
        <v>40</v>
      </c>
      <c r="M11" s="82"/>
      <c r="N11" s="81">
        <v>30</v>
      </c>
      <c r="O11" s="82"/>
      <c r="P11" s="81">
        <v>20</v>
      </c>
      <c r="Q11" s="82"/>
      <c r="R11" s="81">
        <v>10</v>
      </c>
      <c r="S11" s="82"/>
      <c r="T11" s="18"/>
      <c r="U11" s="109"/>
      <c r="V11" s="26" t="s">
        <v>63</v>
      </c>
      <c r="W11" s="23" t="s">
        <v>25</v>
      </c>
      <c r="X11" s="20">
        <f>IF(I7="a",1,0)</f>
        <v>0</v>
      </c>
      <c r="Y11" s="20">
        <f>IF(G7="a",1,0)</f>
        <v>0</v>
      </c>
      <c r="Z11" s="20">
        <f>IF(E7="a",1,0)</f>
        <v>0</v>
      </c>
      <c r="AA11" s="20">
        <f>IF(C7="a",1,0)</f>
        <v>0</v>
      </c>
      <c r="AB11" s="20">
        <f>IF(C6="b",1,0)</f>
        <v>0</v>
      </c>
      <c r="AC11" s="20">
        <f>IF(E5="b",1,0)</f>
        <v>0</v>
      </c>
      <c r="AD11" s="20">
        <f>IF(G4="b",1,0)</f>
        <v>0</v>
      </c>
      <c r="AE11" s="20">
        <f>IF(I3="b",1,0)</f>
        <v>0</v>
      </c>
      <c r="AF11" s="20">
        <f>IF(K2="b",1,0)</f>
        <v>0</v>
      </c>
      <c r="AG11" s="24">
        <f t="shared" si="0"/>
        <v>0</v>
      </c>
      <c r="AH11" s="25" t="str">
        <f>IF(AG11&lt;=5,"Memiliki penilaian yang rendah terhadap hubungan sosial, cenderung kurang percaya pada orang lain","Tingkat kepercayaan dalam hubungan sosial tinggi, menyukai interaksi sosial")</f>
        <v>Memiliki penilaian yang rendah terhadap hubungan sosial, cenderung kurang percaya pada orang lain</v>
      </c>
    </row>
    <row r="12" spans="2:34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18"/>
      <c r="U12" s="109"/>
      <c r="V12" s="26" t="s">
        <v>64</v>
      </c>
      <c r="W12" s="23" t="s">
        <v>40</v>
      </c>
      <c r="X12" s="20">
        <f>IF(M6="a",1,0)</f>
        <v>0</v>
      </c>
      <c r="Y12" s="20">
        <f>IF(O6="a",1,0)</f>
        <v>0</v>
      </c>
      <c r="Z12" s="20">
        <f>IF(Q6="a",1,0)</f>
        <v>0</v>
      </c>
      <c r="AA12" s="20">
        <f>IF(S6="a",1,0)</f>
        <v>0</v>
      </c>
      <c r="AB12" s="20">
        <f>IF(S7="b",1,0)</f>
        <v>0</v>
      </c>
      <c r="AC12" s="20">
        <f>IF(Q8="b",1,0)</f>
        <v>0</v>
      </c>
      <c r="AD12" s="20">
        <f>IF(O9="b",1,0)</f>
        <v>0</v>
      </c>
      <c r="AE12" s="20">
        <f>IF(M10="b",1,0)</f>
        <v>0</v>
      </c>
      <c r="AF12" s="20">
        <f>IF(K11="b",1,0)</f>
        <v>0</v>
      </c>
      <c r="AG12" s="24">
        <f t="shared" si="0"/>
        <v>0</v>
      </c>
      <c r="AH12" s="25" t="str">
        <f>IF(AG12&lt;=3,"Selektif, secara umum melepaskan diri dari kelompok",IF(AG12&lt;=5,"Ada kebutuhan untuk diterima dan diakui tetapi tidak terlalu mudah dipengaruhi oleh kelompok","Kebutuhan untuk disukai, diakui oleh semua orang. Mudah dipengaruhi kelompok"))</f>
        <v>Selektif, secara umum melepaskan diri dari kelompok</v>
      </c>
    </row>
    <row r="13" spans="2:34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18"/>
      <c r="U13" s="109"/>
      <c r="V13" s="26" t="s">
        <v>65</v>
      </c>
      <c r="W13" s="23" t="s">
        <v>66</v>
      </c>
      <c r="X13" s="20">
        <f>IF(K7="a",1,0)</f>
        <v>0</v>
      </c>
      <c r="Y13" s="20">
        <f>IF(M7="a",1,0)</f>
        <v>0</v>
      </c>
      <c r="Z13" s="20">
        <f>IF(O7="a",1,0)</f>
        <v>0</v>
      </c>
      <c r="AA13" s="20">
        <f>IF(Q7="a",1,0)</f>
        <v>0</v>
      </c>
      <c r="AB13" s="20">
        <f>IF(S7="a",1,0)</f>
        <v>0</v>
      </c>
      <c r="AC13" s="20">
        <f>IF(S8="b",1,0)</f>
        <v>0</v>
      </c>
      <c r="AD13" s="20">
        <f>IF(Q9="b",1,0)</f>
        <v>0</v>
      </c>
      <c r="AE13" s="20">
        <f>IF(O10="b",1,0)</f>
        <v>0</v>
      </c>
      <c r="AF13" s="20">
        <f>IF(M11="b",1,0)</f>
        <v>0</v>
      </c>
      <c r="AG13" s="24">
        <f t="shared" si="0"/>
        <v>0</v>
      </c>
      <c r="AH13" s="25" t="str">
        <f>IF(AG13&lt;=2,"Tidak menyukai hubungan antar pribadi. Tidak menyukai interaksi perseorangan",IF(AG13&lt;=4,"Sadar akan kebutuhan antar pribadi tetapi dapat melepaskan diri dari orang lain/tidak terlalu tergantung","Ketergantungan yang sangat besar akan pengakuan dan penerimaan diri"))</f>
        <v>Tidak menyukai hubungan antar pribadi. Tidak menyukai interaksi perseorangan</v>
      </c>
    </row>
    <row r="14" spans="2:34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18"/>
      <c r="U14" s="108" t="s">
        <v>67</v>
      </c>
      <c r="V14" s="26" t="s">
        <v>68</v>
      </c>
      <c r="W14" s="23" t="s">
        <v>69</v>
      </c>
      <c r="X14" s="20">
        <f>IF(G8="a",1,0)</f>
        <v>0</v>
      </c>
      <c r="Y14" s="20">
        <f>IF(E8="a",1,0)</f>
        <v>0</v>
      </c>
      <c r="Z14" s="20">
        <f>IF(C8="a",1,0)</f>
        <v>0</v>
      </c>
      <c r="AA14" s="20">
        <f>IF(C7="b",1,0)</f>
        <v>0</v>
      </c>
      <c r="AB14" s="20">
        <f>IF(E6="b",1,0)</f>
        <v>0</v>
      </c>
      <c r="AC14" s="20">
        <f>IF(G5="b",1,0)</f>
        <v>0</v>
      </c>
      <c r="AD14" s="20">
        <f>IF(I4="b",1,0)</f>
        <v>0</v>
      </c>
      <c r="AE14" s="20">
        <f>IF(K3="b",1,0)</f>
        <v>0</v>
      </c>
      <c r="AF14" s="20">
        <f>IF(M2="b",1,0)</f>
        <v>0</v>
      </c>
      <c r="AG14" s="24">
        <f t="shared" si="0"/>
        <v>0</v>
      </c>
      <c r="AH14" s="25" t="str">
        <f>IF(AG14&lt;=4,"Kurang perhatian-praktis","Penekanan pada nialai-nilai penalaran tergolong tinggi")</f>
        <v>Kurang perhatian-praktis</v>
      </c>
    </row>
    <row r="15" spans="2:34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18"/>
      <c r="U15" s="109"/>
      <c r="V15" s="26" t="s">
        <v>70</v>
      </c>
      <c r="W15" s="23" t="s">
        <v>71</v>
      </c>
      <c r="X15" s="20">
        <f>IF(E9="a",1,0)</f>
        <v>0</v>
      </c>
      <c r="Y15" s="20">
        <f>IF(C9="a",1,0)</f>
        <v>0</v>
      </c>
      <c r="Z15" s="20">
        <f>IF(C8="b",1,0)</f>
        <v>0</v>
      </c>
      <c r="AA15" s="20">
        <f>IF(E7="b",1,0)</f>
        <v>0</v>
      </c>
      <c r="AB15" s="20">
        <f>IF(G6="b",1,0)</f>
        <v>0</v>
      </c>
      <c r="AC15" s="20">
        <f>IF(I5="b",1,0)</f>
        <v>0</v>
      </c>
      <c r="AD15" s="20">
        <f>IF(K4="b",1,0)</f>
        <v>0</v>
      </c>
      <c r="AE15" s="20">
        <f>IF(M3="b",1,0)</f>
        <v>0</v>
      </c>
      <c r="AF15" s="20">
        <f>IF(O2="b",1,0)</f>
        <v>0</v>
      </c>
      <c r="AG15" s="24">
        <f t="shared" si="0"/>
        <v>0</v>
      </c>
      <c r="AH15" s="25" t="str">
        <f>IF(AG15&lt;=3,"Menyadari kebutuhan akan kecermatan tetapi secara pribadi tidak berminat menangani hal-hal detail","Minat menangani hal-hal detail tergolong tinggi")</f>
        <v>Menyadari kebutuhan akan kecermatan tetapi secara pribadi tidak berminat menangani hal-hal detail</v>
      </c>
    </row>
    <row r="16" spans="2:34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18"/>
      <c r="U16" s="109"/>
      <c r="V16" s="26" t="s">
        <v>72</v>
      </c>
      <c r="W16" s="23" t="s">
        <v>73</v>
      </c>
      <c r="X16" s="20">
        <f>IF(C10="a",1,0)</f>
        <v>0</v>
      </c>
      <c r="Y16" s="20">
        <f>IF(C9="b",1,0)</f>
        <v>0</v>
      </c>
      <c r="Z16" s="29">
        <f>IF(E8="b",1,0)</f>
        <v>0</v>
      </c>
      <c r="AA16" s="20">
        <f>IF(G7="b",1,0)</f>
        <v>0</v>
      </c>
      <c r="AB16" s="29">
        <f>IF(I6="b",1,0)</f>
        <v>0</v>
      </c>
      <c r="AC16" s="20">
        <f>IF(K5="b",1,0)</f>
        <v>0</v>
      </c>
      <c r="AD16" s="29">
        <f>IF(M4="b",1,0)</f>
        <v>0</v>
      </c>
      <c r="AE16" s="20">
        <f>IF(O3="b",1,0)</f>
        <v>0</v>
      </c>
      <c r="AF16" s="29">
        <f>IF(Q2="b",1,0)</f>
        <v>0</v>
      </c>
      <c r="AG16" s="24">
        <f t="shared" si="0"/>
        <v>0</v>
      </c>
      <c r="AH16" s="25" t="str">
        <f>IF(AG16&lt;=2,"Fleksibilitas sampai ketidak-teraturan",IF(AG16&lt;=5,"Tergolong teratur tetapi dengan fleksibilitas","Memiliki keteraturan yang sangat tinggi, cenderung kaku"))</f>
        <v>Fleksibilitas sampai ketidak-teraturan</v>
      </c>
    </row>
    <row r="17" spans="2:34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18"/>
      <c r="U17" s="108" t="s">
        <v>74</v>
      </c>
      <c r="V17" s="26" t="s">
        <v>75</v>
      </c>
      <c r="W17" s="23" t="s">
        <v>76</v>
      </c>
      <c r="X17" s="20">
        <f>IF(I8="a",1,0)</f>
        <v>0</v>
      </c>
      <c r="Y17" s="20">
        <f>IF(K8="a",1,0)</f>
        <v>0</v>
      </c>
      <c r="Z17" s="20">
        <f>IF(M8="a",1,0)</f>
        <v>0</v>
      </c>
      <c r="AA17" s="20">
        <f>IF(O8="a",1,0)</f>
        <v>0</v>
      </c>
      <c r="AB17" s="20">
        <f>IF(Q8="a",1,0)</f>
        <v>0</v>
      </c>
      <c r="AC17" s="20">
        <f>IF(S8="a",1,0)</f>
        <v>0</v>
      </c>
      <c r="AD17" s="20">
        <f>IF(S9="b",1,0)</f>
        <v>0</v>
      </c>
      <c r="AE17" s="20">
        <f>IF(Q10="b",1,0)</f>
        <v>0</v>
      </c>
      <c r="AF17" s="20">
        <f>IF(O11="b",1,0)</f>
        <v>0</v>
      </c>
      <c r="AG17" s="24">
        <f t="shared" si="0"/>
        <v>0</v>
      </c>
      <c r="AH17" s="30" t="str">
        <f>IF(AG17&lt;=2,"Tidak menyukai dan menolak perubahan. Cenderung menggunakan pendekatan-pendekatan tradisional",IF(AG17&lt;=4,"Tidak suka akan perubahan jika dipaksakan kepadanya",IF(AG17&lt;=6,"Mudah menyesuaikan diri",IF(AG17&lt;=7,"Pembuat perubahan yang selektif. Berpikir jauh ke depan","Mudah gelisah, mudah frustrasi mungkin karena segala sesuatu bergerak tidak cukup cepat"))))</f>
        <v>Tidak menyukai dan menolak perubahan. Cenderung menggunakan pendekatan-pendekatan tradisional</v>
      </c>
    </row>
    <row r="18" spans="2:34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18"/>
      <c r="U18" s="109"/>
      <c r="V18" s="26" t="s">
        <v>77</v>
      </c>
      <c r="W18" s="23" t="s">
        <v>78</v>
      </c>
      <c r="X18" s="20">
        <f>IF(C10="b",1,0)</f>
        <v>0</v>
      </c>
      <c r="Y18" s="20">
        <f>IF(E9="b",1,0)</f>
        <v>0</v>
      </c>
      <c r="Z18" s="20">
        <f>IF(G8="b",1,0)</f>
        <v>0</v>
      </c>
      <c r="AA18" s="20">
        <f>IF(I7="b",1,0)</f>
        <v>0</v>
      </c>
      <c r="AB18" s="20">
        <f>IF(K6="b",1,0)</f>
        <v>0</v>
      </c>
      <c r="AC18" s="20">
        <f>IF(M5="b",1,0)</f>
        <v>0</v>
      </c>
      <c r="AD18" s="20">
        <f>IF(O4="b",1,0)</f>
        <v>0</v>
      </c>
      <c r="AE18" s="20">
        <f>IF(Q3="b",1,0)</f>
        <v>0</v>
      </c>
      <c r="AF18" s="20">
        <f>IF(S2="b",1,0)</f>
        <v>0</v>
      </c>
      <c r="AG18" s="24">
        <f t="shared" si="0"/>
        <v>0</v>
      </c>
      <c r="AH18" s="25" t="str">
        <f>IF(AG18&lt;=1,"Terbuka, cepat bereaksi, tidak memikirkan nilai dalam pengendalian diri",IF(AG18&lt;=3,"Terbuka",IF(AG18&lt;=6,"Memiliki pendekatan emosional yang seimbang. Mampu mengendalikan perasaannya","Sangat menepatkan nilai-nilai dalam setiap aktivitasnya. Kebutuhan pengendalian diri yang berlebih-lebihan, mungkin digunakan sebagai defence mechanisme")))</f>
        <v>Terbuka, cepat bereaksi, tidak memikirkan nilai dalam pengendalian diri</v>
      </c>
    </row>
    <row r="19" spans="2:34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18"/>
      <c r="U19" s="109"/>
      <c r="V19" s="26" t="s">
        <v>79</v>
      </c>
      <c r="W19" s="23" t="s">
        <v>80</v>
      </c>
      <c r="X19" s="20">
        <f>IF(G9="a",1,0)</f>
        <v>0</v>
      </c>
      <c r="Y19" s="20">
        <f>IF(I9="a",1,0)</f>
        <v>0</v>
      </c>
      <c r="Z19" s="20">
        <f>IF(K9="a",1,0)</f>
        <v>0</v>
      </c>
      <c r="AA19" s="20">
        <f>IF(M9="a",1,0)</f>
        <v>0</v>
      </c>
      <c r="AB19" s="20">
        <f>IF(O9="a",1,0)</f>
        <v>0</v>
      </c>
      <c r="AC19" s="20">
        <f>IF(Q9="a",1,0)</f>
        <v>0</v>
      </c>
      <c r="AD19" s="20">
        <f>IF(S9="a",1,0)</f>
        <v>0</v>
      </c>
      <c r="AE19" s="20">
        <f>IF(S10="b",1,0)</f>
        <v>0</v>
      </c>
      <c r="AF19" s="20">
        <f>IF(Q11="b",1,0)</f>
        <v>0</v>
      </c>
      <c r="AG19" s="24">
        <f t="shared" si="0"/>
        <v>0</v>
      </c>
      <c r="AH19" s="30" t="str">
        <f>IF(AG19&lt;=2,"Selalu menghindari masalah. Cenderung mengabaikan situasi atau cenderung menolak untuk mengenali sesuatu sebagai sebuah masalah",IF(AG19&lt;=4,"Lebih menyukai lingkungan yang tenang. Menghindari konflik. Cenderung menunda masalah",IF(AG19&lt;=5,"Kukuh pendirian, cenderung keras kepala",IF(AG19&lt;=7,"Agresi pribadi yang berkaitan dengan pekerjaan, dorongan dan semangat bersaing","Agresif, cenderung defensive"))))</f>
        <v>Selalu menghindari masalah. Cenderung mengabaikan situasi atau cenderung menolak untuk mengenali sesuatu sebagai sebuah masalah</v>
      </c>
    </row>
    <row r="20" spans="2:34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18"/>
      <c r="U20" s="108" t="s">
        <v>81</v>
      </c>
      <c r="V20" s="26" t="s">
        <v>82</v>
      </c>
      <c r="W20" s="23" t="s">
        <v>83</v>
      </c>
      <c r="X20" s="20">
        <f>IF(E10="a",1,0)</f>
        <v>0</v>
      </c>
      <c r="Y20" s="20">
        <f>IF(G10="a",1,0)</f>
        <v>0</v>
      </c>
      <c r="Z20" s="20">
        <f>IF(I10="a",1,0)</f>
        <v>0</v>
      </c>
      <c r="AA20" s="20">
        <f>IF(K10="a",1,0)</f>
        <v>0</v>
      </c>
      <c r="AB20" s="20">
        <f>IF(M10="a",1,0)</f>
        <v>0</v>
      </c>
      <c r="AC20" s="20">
        <f>IF(O10="a",1,0)</f>
        <v>0</v>
      </c>
      <c r="AD20" s="20">
        <f>IF(Q10="a",1,0)</f>
        <v>0</v>
      </c>
      <c r="AE20" s="20">
        <f>IF(S10="a",1,0)</f>
        <v>0</v>
      </c>
      <c r="AF20" s="31">
        <f>IF(S11="b",1,0)</f>
        <v>0</v>
      </c>
      <c r="AG20" s="24">
        <f t="shared" si="0"/>
        <v>0</v>
      </c>
      <c r="AH20" s="25" t="str">
        <f>IF(AG20&lt;=1,"Cenderung egois, kemungkinan bisa bersikap memberontak",IF(AG20&lt;=3,"Mengurus kepentingan diri sendiri",IF(AG20&lt;=5,"Setia terhadap perusahaan","Bersikap setia dan membantu secara pribadi, ada kemungkinan bantuannya bermotivasi politis")))</f>
        <v>Cenderung egois, kemungkinan bisa bersikap memberontak</v>
      </c>
    </row>
    <row r="21" spans="2:34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109"/>
      <c r="V21" s="26" t="s">
        <v>84</v>
      </c>
      <c r="W21" s="23" t="s">
        <v>85</v>
      </c>
      <c r="X21" s="20">
        <f>IF(C11="a",1,0)</f>
        <v>0</v>
      </c>
      <c r="Y21" s="20">
        <f>IF(E11="a",1,0)</f>
        <v>0</v>
      </c>
      <c r="Z21" s="20">
        <f>IF(G11="a",1,0)</f>
        <v>0</v>
      </c>
      <c r="AA21" s="20">
        <f>IF(I11="a",1,0)</f>
        <v>0</v>
      </c>
      <c r="AB21" s="20">
        <f>IF(K11="a",1,0)</f>
        <v>0</v>
      </c>
      <c r="AC21" s="20">
        <f>IF(M11="a",1,0)</f>
        <v>0</v>
      </c>
      <c r="AD21" s="20">
        <f>IF(O11="a",1,0)</f>
        <v>0</v>
      </c>
      <c r="AE21" s="20">
        <f>IF(Q11="a",1,0)</f>
        <v>0</v>
      </c>
      <c r="AF21" s="20">
        <f>IF(S11="a",1,0)</f>
        <v>0</v>
      </c>
      <c r="AG21" s="24">
        <f t="shared" si="0"/>
        <v>0</v>
      </c>
      <c r="AH21" s="25" t="str">
        <f>IF(AG21&lt;=3,"Berorientasi pada tujuan, mandiri",IF(AG21&lt;=5,"Kebutuhan akan pengarahan dan harapan yang dirumuskan untuknya","Meningkatnya orientasi terhadap tugas dan membutuhkan instruksi yang jelas"))</f>
        <v>Berorientasi pada tujuan, mandiri</v>
      </c>
    </row>
    <row r="22" spans="2:34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18"/>
      <c r="AG22" s="18"/>
      <c r="AH22" s="18"/>
    </row>
    <row r="23" spans="2:34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18"/>
      <c r="AG23" s="18"/>
      <c r="AH23" s="18"/>
    </row>
    <row r="24" spans="2:34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110" t="s">
        <v>86</v>
      </c>
      <c r="W24" s="111"/>
      <c r="X24" s="28"/>
      <c r="Y24" s="28"/>
      <c r="Z24" s="28"/>
      <c r="AA24" s="28"/>
      <c r="AB24" s="28"/>
      <c r="AC24" s="28"/>
      <c r="AD24" s="28"/>
      <c r="AE24" s="28"/>
      <c r="AF24" s="18"/>
      <c r="AG24" s="32">
        <f>SUM(AG3,AG5,AG7,AG8,AG9,AG11,AG14,AG15,AG16,AG18)</f>
        <v>0</v>
      </c>
      <c r="AH24" s="33" t="s">
        <v>87</v>
      </c>
    </row>
    <row r="25" spans="2:34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110" t="s">
        <v>88</v>
      </c>
      <c r="W25" s="111"/>
      <c r="X25" s="28"/>
      <c r="Y25" s="28"/>
      <c r="Z25" s="28"/>
      <c r="AA25" s="28"/>
      <c r="AB25" s="28"/>
      <c r="AC25" s="28"/>
      <c r="AD25" s="28"/>
      <c r="AE25" s="28"/>
      <c r="AF25" s="18"/>
      <c r="AG25" s="32">
        <f>SUM(AG2,AG4,AG6,AG10,AG12,AG13,AG17,AG19,AG20,AG21)</f>
        <v>0</v>
      </c>
      <c r="AH25" s="33" t="s">
        <v>87</v>
      </c>
    </row>
  </sheetData>
  <mergeCells count="10">
    <mergeCell ref="U1:V1"/>
    <mergeCell ref="U2:U4"/>
    <mergeCell ref="U5:U7"/>
    <mergeCell ref="U8:U9"/>
    <mergeCell ref="U10:U13"/>
    <mergeCell ref="U14:U16"/>
    <mergeCell ref="U17:U19"/>
    <mergeCell ref="U20:U21"/>
    <mergeCell ref="V24:W24"/>
    <mergeCell ref="V25:W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58"/>
  <sheetViews>
    <sheetView topLeftCell="A31" zoomScaleNormal="100" workbookViewId="0">
      <selection activeCell="E6" sqref="E6"/>
    </sheetView>
  </sheetViews>
  <sheetFormatPr defaultRowHeight="15.75" customHeight="1"/>
  <cols>
    <col min="4" max="4" width="15.21875" customWidth="1"/>
    <col min="17" max="17" width="8.88671875" customWidth="1"/>
  </cols>
  <sheetData>
    <row r="2" spans="1:15" ht="15.75" customHeight="1">
      <c r="A2" s="1" t="s">
        <v>0</v>
      </c>
      <c r="B2" s="2" t="s">
        <v>1</v>
      </c>
      <c r="C2" s="118"/>
      <c r="D2" s="119"/>
    </row>
    <row r="3" spans="1:15" ht="15.75" customHeight="1">
      <c r="A3" s="1" t="s">
        <v>2</v>
      </c>
      <c r="B3" s="2" t="s">
        <v>1</v>
      </c>
      <c r="C3" s="120"/>
      <c r="D3" s="121"/>
    </row>
    <row r="4" spans="1:15" ht="15.75" customHeight="1">
      <c r="A4" s="1" t="s">
        <v>3</v>
      </c>
      <c r="B4" s="2" t="s">
        <v>1</v>
      </c>
      <c r="C4" s="120"/>
      <c r="D4" s="121"/>
    </row>
    <row r="5" spans="1:15" ht="15.75" customHeight="1">
      <c r="A5" s="1" t="s">
        <v>4</v>
      </c>
      <c r="B5" s="2" t="s">
        <v>1</v>
      </c>
      <c r="C5" s="122"/>
      <c r="D5" s="123"/>
    </row>
    <row r="6" spans="1:15" ht="15.75" customHeight="1">
      <c r="A6" s="1" t="s">
        <v>5</v>
      </c>
      <c r="B6" s="2" t="s">
        <v>1</v>
      </c>
      <c r="C6" s="3" t="s">
        <v>6</v>
      </c>
      <c r="D6" s="4"/>
    </row>
    <row r="7" spans="1:15" ht="15.75" customHeight="1">
      <c r="A7" s="9" t="s">
        <v>7</v>
      </c>
      <c r="B7" s="9"/>
      <c r="C7" s="10">
        <v>0</v>
      </c>
      <c r="D7" s="11" t="s">
        <v>89</v>
      </c>
    </row>
    <row r="10" spans="1:15" ht="15.75" customHeight="1">
      <c r="B10" s="34" t="s">
        <v>90</v>
      </c>
      <c r="C10" s="35"/>
      <c r="D10" s="35"/>
      <c r="E10" s="34" t="s">
        <v>91</v>
      </c>
      <c r="F10" s="35"/>
      <c r="G10" s="35"/>
      <c r="H10" s="34" t="s">
        <v>92</v>
      </c>
      <c r="I10" s="35"/>
      <c r="J10" s="35"/>
      <c r="K10" s="34" t="s">
        <v>93</v>
      </c>
      <c r="L10" s="35"/>
      <c r="M10" s="35"/>
      <c r="N10" s="34" t="s">
        <v>94</v>
      </c>
      <c r="O10" s="35"/>
    </row>
    <row r="11" spans="1:15" ht="15.75" customHeight="1">
      <c r="B11" s="125" t="s">
        <v>95</v>
      </c>
      <c r="C11" s="124" t="s">
        <v>96</v>
      </c>
      <c r="D11" s="35"/>
      <c r="E11" s="125" t="s">
        <v>95</v>
      </c>
      <c r="F11" s="124" t="s">
        <v>96</v>
      </c>
      <c r="G11" s="35"/>
      <c r="H11" s="125" t="s">
        <v>95</v>
      </c>
      <c r="I11" s="124" t="s">
        <v>96</v>
      </c>
      <c r="J11" s="35"/>
      <c r="K11" s="125" t="s">
        <v>95</v>
      </c>
      <c r="L11" s="124" t="s">
        <v>96</v>
      </c>
      <c r="M11" s="35"/>
      <c r="N11" s="116" t="s">
        <v>95</v>
      </c>
      <c r="O11" s="114" t="s">
        <v>96</v>
      </c>
    </row>
    <row r="12" spans="1:15" ht="15.75" customHeight="1">
      <c r="B12" s="125"/>
      <c r="C12" s="124"/>
      <c r="D12" s="35"/>
      <c r="E12" s="125"/>
      <c r="F12" s="124"/>
      <c r="G12" s="35"/>
      <c r="H12" s="125"/>
      <c r="I12" s="124"/>
      <c r="J12" s="35"/>
      <c r="K12" s="125"/>
      <c r="L12" s="124"/>
      <c r="M12" s="35"/>
      <c r="N12" s="117"/>
      <c r="O12" s="115"/>
    </row>
    <row r="13" spans="1:15" ht="15.75" customHeight="1">
      <c r="B13" s="36">
        <v>1</v>
      </c>
      <c r="C13" s="37" t="s">
        <v>97</v>
      </c>
      <c r="D13" s="35"/>
      <c r="E13" s="36">
        <v>21</v>
      </c>
      <c r="F13" s="37" t="s">
        <v>97</v>
      </c>
      <c r="G13" s="35"/>
      <c r="H13" s="36">
        <v>41</v>
      </c>
      <c r="I13" s="37" t="s">
        <v>97</v>
      </c>
      <c r="J13" s="35"/>
      <c r="K13" s="36">
        <v>61</v>
      </c>
      <c r="L13" s="37" t="s">
        <v>97</v>
      </c>
      <c r="M13" s="35"/>
      <c r="N13" s="36">
        <v>77</v>
      </c>
      <c r="O13" s="38" t="s">
        <v>97</v>
      </c>
    </row>
    <row r="14" spans="1:15" ht="15.75" customHeight="1">
      <c r="B14" s="36">
        <v>2</v>
      </c>
      <c r="C14" s="37" t="s">
        <v>97</v>
      </c>
      <c r="D14" s="35"/>
      <c r="E14" s="36">
        <v>22</v>
      </c>
      <c r="F14" s="37" t="s">
        <v>97</v>
      </c>
      <c r="G14" s="35"/>
      <c r="H14" s="36">
        <v>42</v>
      </c>
      <c r="I14" s="37" t="s">
        <v>97</v>
      </c>
      <c r="J14" s="35"/>
      <c r="K14" s="36">
        <v>62</v>
      </c>
      <c r="L14" s="37" t="s">
        <v>97</v>
      </c>
      <c r="M14" s="35"/>
      <c r="N14" s="36">
        <v>78</v>
      </c>
      <c r="O14" s="38" t="s">
        <v>97</v>
      </c>
    </row>
    <row r="15" spans="1:15" ht="15.75" customHeight="1">
      <c r="B15" s="36">
        <v>3</v>
      </c>
      <c r="C15" s="37" t="s">
        <v>97</v>
      </c>
      <c r="D15" s="35"/>
      <c r="E15" s="36">
        <v>23</v>
      </c>
      <c r="F15" s="37" t="s">
        <v>97</v>
      </c>
      <c r="G15" s="35"/>
      <c r="H15" s="36">
        <v>43</v>
      </c>
      <c r="I15" s="37" t="s">
        <v>97</v>
      </c>
      <c r="J15" s="35"/>
      <c r="K15" s="36">
        <v>63</v>
      </c>
      <c r="L15" s="37" t="s">
        <v>97</v>
      </c>
      <c r="M15" s="35"/>
      <c r="N15" s="36">
        <v>79</v>
      </c>
      <c r="O15" s="38" t="s">
        <v>97</v>
      </c>
    </row>
    <row r="16" spans="1:15" ht="15.75" customHeight="1">
      <c r="B16" s="36">
        <v>4</v>
      </c>
      <c r="C16" s="37" t="s">
        <v>97</v>
      </c>
      <c r="D16" s="35"/>
      <c r="E16" s="36">
        <v>24</v>
      </c>
      <c r="F16" s="37" t="s">
        <v>97</v>
      </c>
      <c r="G16" s="35"/>
      <c r="H16" s="36">
        <v>44</v>
      </c>
      <c r="I16" s="37" t="s">
        <v>97</v>
      </c>
      <c r="J16" s="35"/>
      <c r="K16" s="36">
        <v>64</v>
      </c>
      <c r="L16" s="37" t="s">
        <v>97</v>
      </c>
      <c r="M16" s="35"/>
      <c r="N16" s="36">
        <v>80</v>
      </c>
      <c r="O16" s="38" t="s">
        <v>97</v>
      </c>
    </row>
    <row r="17" spans="2:15" ht="15.75" customHeight="1">
      <c r="B17" s="36">
        <v>5</v>
      </c>
      <c r="C17" s="37" t="s">
        <v>97</v>
      </c>
      <c r="D17" s="35"/>
      <c r="E17" s="36">
        <v>25</v>
      </c>
      <c r="F17" s="37" t="s">
        <v>97</v>
      </c>
      <c r="G17" s="35"/>
      <c r="H17" s="36">
        <v>45</v>
      </c>
      <c r="I17" s="37" t="s">
        <v>97</v>
      </c>
      <c r="J17" s="35"/>
      <c r="K17" s="36">
        <v>65</v>
      </c>
      <c r="L17" s="37" t="s">
        <v>97</v>
      </c>
      <c r="M17" s="35"/>
      <c r="N17" s="36">
        <v>81</v>
      </c>
      <c r="O17" s="38" t="s">
        <v>97</v>
      </c>
    </row>
    <row r="18" spans="2:15" ht="15.75" customHeight="1">
      <c r="B18" s="36">
        <v>6</v>
      </c>
      <c r="C18" s="37" t="s">
        <v>97</v>
      </c>
      <c r="D18" s="35"/>
      <c r="E18" s="36">
        <v>26</v>
      </c>
      <c r="F18" s="37" t="s">
        <v>97</v>
      </c>
      <c r="G18" s="35"/>
      <c r="H18" s="36">
        <v>46</v>
      </c>
      <c r="I18" s="37" t="s">
        <v>97</v>
      </c>
      <c r="J18" s="35"/>
      <c r="K18" s="36">
        <v>66</v>
      </c>
      <c r="L18" s="37" t="s">
        <v>97</v>
      </c>
      <c r="M18" s="35"/>
      <c r="N18" s="36">
        <v>82</v>
      </c>
      <c r="O18" s="38" t="s">
        <v>97</v>
      </c>
    </row>
    <row r="19" spans="2:15" ht="15.75" customHeight="1">
      <c r="B19" s="36">
        <v>7</v>
      </c>
      <c r="C19" s="37" t="s">
        <v>97</v>
      </c>
      <c r="D19" s="35"/>
      <c r="E19" s="36">
        <v>27</v>
      </c>
      <c r="F19" s="37" t="s">
        <v>97</v>
      </c>
      <c r="G19" s="35"/>
      <c r="H19" s="36">
        <v>47</v>
      </c>
      <c r="I19" s="37" t="s">
        <v>97</v>
      </c>
      <c r="J19" s="35"/>
      <c r="K19" s="36">
        <v>67</v>
      </c>
      <c r="L19" s="37" t="s">
        <v>97</v>
      </c>
      <c r="M19" s="35"/>
      <c r="N19" s="36">
        <v>83</v>
      </c>
      <c r="O19" s="38" t="s">
        <v>97</v>
      </c>
    </row>
    <row r="20" spans="2:15" ht="15.75" customHeight="1">
      <c r="B20" s="36">
        <v>8</v>
      </c>
      <c r="C20" s="37" t="s">
        <v>97</v>
      </c>
      <c r="D20" s="35"/>
      <c r="E20" s="36">
        <v>28</v>
      </c>
      <c r="F20" s="37" t="s">
        <v>97</v>
      </c>
      <c r="G20" s="35"/>
      <c r="H20" s="36">
        <v>48</v>
      </c>
      <c r="I20" s="37" t="s">
        <v>97</v>
      </c>
      <c r="J20" s="35"/>
      <c r="K20" s="36">
        <v>68</v>
      </c>
      <c r="L20" s="37" t="s">
        <v>97</v>
      </c>
      <c r="M20" s="35"/>
      <c r="N20" s="36">
        <v>84</v>
      </c>
      <c r="O20" s="38" t="s">
        <v>97</v>
      </c>
    </row>
    <row r="21" spans="2:15" ht="15.75" customHeight="1">
      <c r="B21" s="36">
        <v>9</v>
      </c>
      <c r="C21" s="37" t="s">
        <v>97</v>
      </c>
      <c r="D21" s="35"/>
      <c r="E21" s="36">
        <v>29</v>
      </c>
      <c r="F21" s="37" t="s">
        <v>97</v>
      </c>
      <c r="G21" s="35"/>
      <c r="H21" s="36">
        <v>49</v>
      </c>
      <c r="I21" s="37" t="s">
        <v>97</v>
      </c>
      <c r="J21" s="35"/>
      <c r="K21" s="36">
        <v>69</v>
      </c>
      <c r="L21" s="37" t="s">
        <v>97</v>
      </c>
      <c r="M21" s="35"/>
      <c r="N21" s="36">
        <v>85</v>
      </c>
      <c r="O21" s="38" t="s">
        <v>97</v>
      </c>
    </row>
    <row r="22" spans="2:15" ht="15.75" customHeight="1">
      <c r="B22" s="36">
        <v>10</v>
      </c>
      <c r="C22" s="37" t="s">
        <v>97</v>
      </c>
      <c r="D22" s="35"/>
      <c r="E22" s="36">
        <v>30</v>
      </c>
      <c r="F22" s="37" t="s">
        <v>97</v>
      </c>
      <c r="G22" s="35"/>
      <c r="H22" s="36">
        <v>50</v>
      </c>
      <c r="I22" s="37" t="s">
        <v>97</v>
      </c>
      <c r="J22" s="35"/>
      <c r="K22" s="36">
        <v>70</v>
      </c>
      <c r="L22" s="37" t="s">
        <v>97</v>
      </c>
      <c r="M22" s="35"/>
      <c r="N22" s="36">
        <v>86</v>
      </c>
      <c r="O22" s="38" t="s">
        <v>97</v>
      </c>
    </row>
    <row r="23" spans="2:15" ht="15.75" customHeight="1">
      <c r="B23" s="36">
        <v>11</v>
      </c>
      <c r="C23" s="37" t="s">
        <v>97</v>
      </c>
      <c r="D23" s="35"/>
      <c r="E23" s="36">
        <v>31</v>
      </c>
      <c r="F23" s="37" t="s">
        <v>97</v>
      </c>
      <c r="G23" s="35"/>
      <c r="H23" s="36">
        <v>51</v>
      </c>
      <c r="I23" s="37" t="s">
        <v>97</v>
      </c>
      <c r="J23" s="35"/>
      <c r="K23" s="36">
        <v>71</v>
      </c>
      <c r="L23" s="37" t="s">
        <v>97</v>
      </c>
      <c r="M23" s="35"/>
      <c r="N23" s="36">
        <v>87</v>
      </c>
      <c r="O23" s="38" t="s">
        <v>97</v>
      </c>
    </row>
    <row r="24" spans="2:15" ht="15.75" customHeight="1">
      <c r="B24" s="36">
        <v>12</v>
      </c>
      <c r="C24" s="37" t="s">
        <v>97</v>
      </c>
      <c r="D24" s="35"/>
      <c r="E24" s="36">
        <v>32</v>
      </c>
      <c r="F24" s="37" t="s">
        <v>97</v>
      </c>
      <c r="G24" s="35"/>
      <c r="H24" s="36">
        <v>52</v>
      </c>
      <c r="I24" s="37" t="s">
        <v>97</v>
      </c>
      <c r="J24" s="35"/>
      <c r="K24" s="36">
        <v>72</v>
      </c>
      <c r="L24" s="37" t="s">
        <v>97</v>
      </c>
      <c r="M24" s="35"/>
      <c r="N24" s="36">
        <v>88</v>
      </c>
      <c r="O24" s="38" t="s">
        <v>97</v>
      </c>
    </row>
    <row r="25" spans="2:15" ht="15.75" customHeight="1">
      <c r="B25" s="36">
        <v>13</v>
      </c>
      <c r="C25" s="37" t="s">
        <v>97</v>
      </c>
      <c r="D25" s="35"/>
      <c r="E25" s="36">
        <v>33</v>
      </c>
      <c r="F25" s="37" t="s">
        <v>97</v>
      </c>
      <c r="G25" s="35"/>
      <c r="H25" s="36">
        <v>53</v>
      </c>
      <c r="I25" s="37" t="s">
        <v>97</v>
      </c>
      <c r="J25" s="35"/>
      <c r="K25" s="36">
        <v>73</v>
      </c>
      <c r="L25" s="37" t="s">
        <v>97</v>
      </c>
      <c r="M25" s="35"/>
      <c r="N25" s="36">
        <v>89</v>
      </c>
      <c r="O25" s="38" t="s">
        <v>97</v>
      </c>
    </row>
    <row r="26" spans="2:15" ht="15.75" customHeight="1">
      <c r="B26" s="36">
        <v>14</v>
      </c>
      <c r="C26" s="37" t="s">
        <v>97</v>
      </c>
      <c r="D26" s="35"/>
      <c r="E26" s="36">
        <v>34</v>
      </c>
      <c r="F26" s="37" t="s">
        <v>97</v>
      </c>
      <c r="G26" s="35"/>
      <c r="H26" s="36">
        <v>54</v>
      </c>
      <c r="I26" s="37" t="s">
        <v>97</v>
      </c>
      <c r="J26" s="35"/>
      <c r="K26" s="36">
        <v>74</v>
      </c>
      <c r="L26" s="37" t="s">
        <v>97</v>
      </c>
      <c r="M26" s="35"/>
      <c r="N26" s="36">
        <v>90</v>
      </c>
      <c r="O26" s="38" t="s">
        <v>97</v>
      </c>
    </row>
    <row r="27" spans="2:15" ht="15.75" customHeight="1">
      <c r="B27" s="36">
        <v>15</v>
      </c>
      <c r="C27" s="37" t="s">
        <v>97</v>
      </c>
      <c r="D27" s="35"/>
      <c r="E27" s="36">
        <v>35</v>
      </c>
      <c r="F27" s="37" t="s">
        <v>97</v>
      </c>
      <c r="G27" s="35"/>
      <c r="H27" s="36">
        <v>55</v>
      </c>
      <c r="I27" s="37" t="s">
        <v>97</v>
      </c>
      <c r="J27" s="35"/>
      <c r="K27" s="36">
        <v>75</v>
      </c>
      <c r="L27" s="37" t="s">
        <v>97</v>
      </c>
      <c r="M27" s="35"/>
      <c r="N27" s="36">
        <v>91</v>
      </c>
      <c r="O27" s="38" t="s">
        <v>97</v>
      </c>
    </row>
    <row r="28" spans="2:15" ht="15.75" customHeight="1">
      <c r="B28" s="36">
        <v>16</v>
      </c>
      <c r="C28" s="37" t="s">
        <v>97</v>
      </c>
      <c r="D28" s="35"/>
      <c r="E28" s="36">
        <v>36</v>
      </c>
      <c r="F28" s="37" t="s">
        <v>97</v>
      </c>
      <c r="G28" s="35"/>
      <c r="H28" s="36">
        <v>56</v>
      </c>
      <c r="I28" s="37" t="s">
        <v>97</v>
      </c>
      <c r="J28" s="35"/>
      <c r="K28" s="36">
        <v>76</v>
      </c>
      <c r="L28" s="37" t="s">
        <v>97</v>
      </c>
      <c r="M28" s="35"/>
      <c r="N28" s="36">
        <v>92</v>
      </c>
      <c r="O28" s="38" t="s">
        <v>97</v>
      </c>
    </row>
    <row r="29" spans="2:15" ht="15.75" customHeight="1">
      <c r="B29" s="36">
        <v>17</v>
      </c>
      <c r="C29" s="37" t="s">
        <v>97</v>
      </c>
      <c r="D29" s="35"/>
      <c r="E29" s="36">
        <v>37</v>
      </c>
      <c r="F29" s="37" t="s">
        <v>97</v>
      </c>
      <c r="G29" s="35"/>
      <c r="H29" s="36">
        <v>57</v>
      </c>
      <c r="I29" s="37" t="s">
        <v>97</v>
      </c>
      <c r="J29" s="35"/>
      <c r="K29" s="35"/>
      <c r="L29" s="35"/>
      <c r="M29" s="35"/>
      <c r="N29" s="36">
        <v>93</v>
      </c>
      <c r="O29" s="38" t="s">
        <v>97</v>
      </c>
    </row>
    <row r="30" spans="2:15" ht="15.75" customHeight="1">
      <c r="B30" s="36">
        <v>18</v>
      </c>
      <c r="C30" s="37" t="s">
        <v>97</v>
      </c>
      <c r="D30" s="35"/>
      <c r="E30" s="36">
        <v>38</v>
      </c>
      <c r="F30" s="37" t="s">
        <v>97</v>
      </c>
      <c r="G30" s="35"/>
      <c r="H30" s="36">
        <v>58</v>
      </c>
      <c r="I30" s="37" t="s">
        <v>97</v>
      </c>
      <c r="J30" s="35"/>
      <c r="K30" s="35"/>
      <c r="L30" s="35"/>
      <c r="M30" s="35"/>
      <c r="N30" s="36">
        <v>94</v>
      </c>
      <c r="O30" s="38" t="s">
        <v>97</v>
      </c>
    </row>
    <row r="31" spans="2:15" ht="15.75" customHeight="1">
      <c r="B31" s="36">
        <v>19</v>
      </c>
      <c r="C31" s="37" t="s">
        <v>97</v>
      </c>
      <c r="D31" s="35"/>
      <c r="E31" s="36">
        <v>39</v>
      </c>
      <c r="F31" s="37" t="s">
        <v>97</v>
      </c>
      <c r="G31" s="35"/>
      <c r="H31" s="36">
        <v>59</v>
      </c>
      <c r="I31" s="37" t="s">
        <v>97</v>
      </c>
      <c r="J31" s="35"/>
      <c r="K31" s="35"/>
      <c r="L31" s="35"/>
      <c r="M31" s="35"/>
      <c r="N31" s="36">
        <v>95</v>
      </c>
      <c r="O31" s="38" t="s">
        <v>97</v>
      </c>
    </row>
    <row r="32" spans="2:15" ht="15.75" customHeight="1">
      <c r="B32" s="36">
        <v>20</v>
      </c>
      <c r="C32" s="37" t="s">
        <v>97</v>
      </c>
      <c r="D32" s="35"/>
      <c r="E32" s="36">
        <v>40</v>
      </c>
      <c r="F32" s="37" t="s">
        <v>97</v>
      </c>
      <c r="G32" s="35"/>
      <c r="H32" s="36">
        <v>60</v>
      </c>
      <c r="I32" s="37" t="s">
        <v>97</v>
      </c>
      <c r="J32" s="35"/>
      <c r="K32" s="35"/>
      <c r="L32" s="35"/>
      <c r="M32" s="35"/>
      <c r="N32" s="36">
        <v>96</v>
      </c>
      <c r="O32" s="38" t="s">
        <v>97</v>
      </c>
    </row>
    <row r="33" spans="2:15" ht="15.75" customHeight="1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 spans="2:15" ht="15.75" customHeight="1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2:15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 spans="2:15">
      <c r="B36" s="34" t="s">
        <v>98</v>
      </c>
      <c r="C36" s="35"/>
      <c r="D36" s="35"/>
      <c r="E36" s="34" t="s">
        <v>99</v>
      </c>
      <c r="F36" s="35"/>
      <c r="G36" s="35"/>
      <c r="H36" s="34" t="s">
        <v>100</v>
      </c>
      <c r="I36" s="35"/>
      <c r="J36" s="35"/>
      <c r="K36" s="34" t="s">
        <v>101</v>
      </c>
      <c r="L36" s="35"/>
      <c r="M36" s="35"/>
      <c r="N36" s="35"/>
      <c r="O36" s="35"/>
    </row>
    <row r="37" spans="2:15">
      <c r="B37" s="116" t="s">
        <v>95</v>
      </c>
      <c r="C37" s="114" t="s">
        <v>96</v>
      </c>
      <c r="D37" s="35"/>
      <c r="E37" s="114" t="s">
        <v>95</v>
      </c>
      <c r="F37" s="114" t="s">
        <v>96</v>
      </c>
      <c r="G37" s="35"/>
      <c r="H37" s="116" t="s">
        <v>95</v>
      </c>
      <c r="I37" s="114" t="s">
        <v>96</v>
      </c>
      <c r="J37" s="35"/>
      <c r="K37" s="116" t="s">
        <v>95</v>
      </c>
      <c r="L37" s="114" t="s">
        <v>96</v>
      </c>
      <c r="M37" s="35"/>
      <c r="N37" s="35"/>
      <c r="O37" s="35"/>
    </row>
    <row r="38" spans="2:15">
      <c r="B38" s="117"/>
      <c r="C38" s="115"/>
      <c r="D38" s="35"/>
      <c r="E38" s="115"/>
      <c r="F38" s="115"/>
      <c r="G38" s="35"/>
      <c r="H38" s="117"/>
      <c r="I38" s="115"/>
      <c r="J38" s="35"/>
      <c r="K38" s="117"/>
      <c r="L38" s="115"/>
      <c r="M38" s="35"/>
      <c r="N38" s="35"/>
      <c r="O38" s="35"/>
    </row>
    <row r="39" spans="2:15">
      <c r="B39" s="36">
        <v>97</v>
      </c>
      <c r="C39" s="38" t="s">
        <v>97</v>
      </c>
      <c r="D39" s="35"/>
      <c r="E39" s="36">
        <v>117</v>
      </c>
      <c r="F39" s="37" t="s">
        <v>97</v>
      </c>
      <c r="G39" s="35"/>
      <c r="H39" s="36">
        <v>137</v>
      </c>
      <c r="I39" s="37" t="s">
        <v>97</v>
      </c>
      <c r="J39" s="35"/>
      <c r="K39" s="36">
        <v>157</v>
      </c>
      <c r="L39" s="37" t="s">
        <v>97</v>
      </c>
      <c r="M39" s="35"/>
      <c r="N39" s="35"/>
      <c r="O39" s="35"/>
    </row>
    <row r="40" spans="2:15">
      <c r="B40" s="36">
        <v>98</v>
      </c>
      <c r="C40" s="38" t="s">
        <v>97</v>
      </c>
      <c r="D40" s="35"/>
      <c r="E40" s="36">
        <v>118</v>
      </c>
      <c r="F40" s="37" t="s">
        <v>97</v>
      </c>
      <c r="G40" s="35"/>
      <c r="H40" s="36">
        <v>138</v>
      </c>
      <c r="I40" s="37" t="s">
        <v>97</v>
      </c>
      <c r="J40" s="35"/>
      <c r="K40" s="36">
        <v>158</v>
      </c>
      <c r="L40" s="37" t="s">
        <v>97</v>
      </c>
      <c r="M40" s="35"/>
      <c r="N40" s="35"/>
      <c r="O40" s="35"/>
    </row>
    <row r="41" spans="2:15">
      <c r="B41" s="36">
        <v>99</v>
      </c>
      <c r="C41" s="38" t="s">
        <v>97</v>
      </c>
      <c r="D41" s="35"/>
      <c r="E41" s="36">
        <v>119</v>
      </c>
      <c r="F41" s="37" t="s">
        <v>97</v>
      </c>
      <c r="G41" s="35"/>
      <c r="H41" s="36">
        <v>139</v>
      </c>
      <c r="I41" s="37" t="s">
        <v>97</v>
      </c>
      <c r="J41" s="35"/>
      <c r="K41" s="36">
        <v>159</v>
      </c>
      <c r="L41" s="37" t="s">
        <v>97</v>
      </c>
      <c r="M41" s="35"/>
      <c r="N41" s="35"/>
      <c r="O41" s="35"/>
    </row>
    <row r="42" spans="2:15">
      <c r="B42" s="36">
        <v>100</v>
      </c>
      <c r="C42" s="38" t="s">
        <v>97</v>
      </c>
      <c r="D42" s="35"/>
      <c r="E42" s="36">
        <v>120</v>
      </c>
      <c r="F42" s="37" t="s">
        <v>97</v>
      </c>
      <c r="G42" s="35"/>
      <c r="H42" s="36">
        <v>140</v>
      </c>
      <c r="I42" s="37" t="s">
        <v>97</v>
      </c>
      <c r="J42" s="35"/>
      <c r="K42" s="36">
        <v>160</v>
      </c>
      <c r="L42" s="37" t="s">
        <v>97</v>
      </c>
      <c r="M42" s="35"/>
      <c r="N42" s="35"/>
      <c r="O42" s="35"/>
    </row>
    <row r="43" spans="2:15">
      <c r="B43" s="36">
        <v>101</v>
      </c>
      <c r="C43" s="38" t="s">
        <v>97</v>
      </c>
      <c r="D43" s="35"/>
      <c r="E43" s="36">
        <v>121</v>
      </c>
      <c r="F43" s="37" t="s">
        <v>97</v>
      </c>
      <c r="G43" s="35"/>
      <c r="H43" s="36">
        <v>141</v>
      </c>
      <c r="I43" s="37" t="s">
        <v>97</v>
      </c>
      <c r="J43" s="35"/>
      <c r="K43" s="36">
        <v>161</v>
      </c>
      <c r="L43" s="37" t="s">
        <v>97</v>
      </c>
      <c r="M43" s="35"/>
      <c r="N43" s="35"/>
      <c r="O43" s="35"/>
    </row>
    <row r="44" spans="2:15">
      <c r="B44" s="36">
        <v>102</v>
      </c>
      <c r="C44" s="38" t="s">
        <v>97</v>
      </c>
      <c r="D44" s="35"/>
      <c r="E44" s="36">
        <v>122</v>
      </c>
      <c r="F44" s="37" t="s">
        <v>97</v>
      </c>
      <c r="G44" s="35"/>
      <c r="H44" s="36">
        <v>142</v>
      </c>
      <c r="I44" s="37" t="s">
        <v>97</v>
      </c>
      <c r="J44" s="35"/>
      <c r="K44" s="36">
        <v>162</v>
      </c>
      <c r="L44" s="37" t="s">
        <v>97</v>
      </c>
      <c r="M44" s="35"/>
      <c r="N44" s="35"/>
      <c r="O44" s="35"/>
    </row>
    <row r="45" spans="2:15">
      <c r="B45" s="36">
        <v>103</v>
      </c>
      <c r="C45" s="38" t="s">
        <v>97</v>
      </c>
      <c r="D45" s="35"/>
      <c r="E45" s="36">
        <v>123</v>
      </c>
      <c r="F45" s="37" t="s">
        <v>97</v>
      </c>
      <c r="G45" s="35"/>
      <c r="H45" s="36">
        <v>143</v>
      </c>
      <c r="I45" s="37" t="s">
        <v>97</v>
      </c>
      <c r="J45" s="35"/>
      <c r="K45" s="36">
        <v>163</v>
      </c>
      <c r="L45" s="37" t="s">
        <v>97</v>
      </c>
      <c r="M45" s="35"/>
      <c r="N45" s="35"/>
      <c r="O45" s="35"/>
    </row>
    <row r="46" spans="2:15">
      <c r="B46" s="36">
        <v>104</v>
      </c>
      <c r="C46" s="38" t="s">
        <v>97</v>
      </c>
      <c r="D46" s="35"/>
      <c r="E46" s="36">
        <v>124</v>
      </c>
      <c r="F46" s="37" t="s">
        <v>97</v>
      </c>
      <c r="G46" s="35"/>
      <c r="H46" s="36">
        <v>144</v>
      </c>
      <c r="I46" s="37" t="s">
        <v>97</v>
      </c>
      <c r="J46" s="35"/>
      <c r="K46" s="36">
        <v>164</v>
      </c>
      <c r="L46" s="37" t="s">
        <v>97</v>
      </c>
      <c r="M46" s="35"/>
      <c r="N46" s="35"/>
      <c r="O46" s="35"/>
    </row>
    <row r="47" spans="2:15">
      <c r="B47" s="36">
        <v>105</v>
      </c>
      <c r="C47" s="38" t="s">
        <v>97</v>
      </c>
      <c r="D47" s="35"/>
      <c r="E47" s="36">
        <v>125</v>
      </c>
      <c r="F47" s="37" t="s">
        <v>97</v>
      </c>
      <c r="G47" s="35"/>
      <c r="H47" s="36">
        <v>145</v>
      </c>
      <c r="I47" s="37" t="s">
        <v>97</v>
      </c>
      <c r="J47" s="35"/>
      <c r="K47" s="36">
        <v>165</v>
      </c>
      <c r="L47" s="37" t="s">
        <v>97</v>
      </c>
      <c r="M47" s="35"/>
      <c r="N47" s="35"/>
      <c r="O47" s="35"/>
    </row>
    <row r="48" spans="2:15">
      <c r="B48" s="36">
        <v>106</v>
      </c>
      <c r="C48" s="38" t="s">
        <v>97</v>
      </c>
      <c r="D48" s="35"/>
      <c r="E48" s="36">
        <v>126</v>
      </c>
      <c r="F48" s="37" t="s">
        <v>97</v>
      </c>
      <c r="G48" s="35"/>
      <c r="H48" s="36">
        <v>146</v>
      </c>
      <c r="I48" s="37" t="s">
        <v>97</v>
      </c>
      <c r="J48" s="35"/>
      <c r="K48" s="36">
        <v>166</v>
      </c>
      <c r="L48" s="37" t="s">
        <v>97</v>
      </c>
      <c r="M48" s="35"/>
      <c r="N48" s="35"/>
      <c r="O48" s="35"/>
    </row>
    <row r="49" spans="2:15">
      <c r="B49" s="36">
        <v>107</v>
      </c>
      <c r="C49" s="38" t="s">
        <v>97</v>
      </c>
      <c r="D49" s="35"/>
      <c r="E49" s="36">
        <v>127</v>
      </c>
      <c r="F49" s="37" t="s">
        <v>97</v>
      </c>
      <c r="G49" s="35"/>
      <c r="H49" s="36">
        <v>147</v>
      </c>
      <c r="I49" s="37" t="s">
        <v>97</v>
      </c>
      <c r="J49" s="35"/>
      <c r="K49" s="36">
        <v>167</v>
      </c>
      <c r="L49" s="37" t="s">
        <v>97</v>
      </c>
      <c r="M49" s="35"/>
      <c r="N49" s="35"/>
      <c r="O49" s="35"/>
    </row>
    <row r="50" spans="2:15">
      <c r="B50" s="36">
        <v>108</v>
      </c>
      <c r="C50" s="38" t="s">
        <v>97</v>
      </c>
      <c r="D50" s="35"/>
      <c r="E50" s="36">
        <v>128</v>
      </c>
      <c r="F50" s="37" t="s">
        <v>97</v>
      </c>
      <c r="G50" s="35"/>
      <c r="H50" s="36">
        <v>148</v>
      </c>
      <c r="I50" s="37" t="s">
        <v>97</v>
      </c>
      <c r="J50" s="35"/>
      <c r="K50" s="36">
        <v>168</v>
      </c>
      <c r="L50" s="37" t="s">
        <v>97</v>
      </c>
      <c r="M50" s="35"/>
      <c r="N50" s="35"/>
      <c r="O50" s="35"/>
    </row>
    <row r="51" spans="2:15">
      <c r="B51" s="36">
        <v>109</v>
      </c>
      <c r="C51" s="38" t="s">
        <v>97</v>
      </c>
      <c r="D51" s="35"/>
      <c r="E51" s="36">
        <v>129</v>
      </c>
      <c r="F51" s="37" t="s">
        <v>97</v>
      </c>
      <c r="G51" s="35"/>
      <c r="H51" s="36">
        <v>149</v>
      </c>
      <c r="I51" s="37" t="s">
        <v>97</v>
      </c>
      <c r="J51" s="35"/>
      <c r="K51" s="36">
        <v>169</v>
      </c>
      <c r="L51" s="37" t="s">
        <v>97</v>
      </c>
      <c r="M51" s="35"/>
      <c r="N51" s="35"/>
      <c r="O51" s="35"/>
    </row>
    <row r="52" spans="2:15">
      <c r="B52" s="36">
        <v>110</v>
      </c>
      <c r="C52" s="38" t="s">
        <v>97</v>
      </c>
      <c r="D52" s="35"/>
      <c r="E52" s="36">
        <v>130</v>
      </c>
      <c r="F52" s="37" t="s">
        <v>97</v>
      </c>
      <c r="G52" s="35"/>
      <c r="H52" s="36">
        <v>150</v>
      </c>
      <c r="I52" s="37" t="s">
        <v>97</v>
      </c>
      <c r="J52" s="35"/>
      <c r="K52" s="36">
        <v>170</v>
      </c>
      <c r="L52" s="37" t="s">
        <v>97</v>
      </c>
      <c r="M52" s="35"/>
      <c r="N52" s="35"/>
      <c r="O52" s="35"/>
    </row>
    <row r="53" spans="2:15">
      <c r="B53" s="36">
        <v>111</v>
      </c>
      <c r="C53" s="38" t="s">
        <v>97</v>
      </c>
      <c r="D53" s="35"/>
      <c r="E53" s="36">
        <v>131</v>
      </c>
      <c r="F53" s="37" t="s">
        <v>97</v>
      </c>
      <c r="G53" s="35"/>
      <c r="H53" s="36">
        <v>151</v>
      </c>
      <c r="I53" s="37" t="s">
        <v>97</v>
      </c>
      <c r="J53" s="35"/>
      <c r="K53" s="36">
        <v>171</v>
      </c>
      <c r="L53" s="37" t="s">
        <v>97</v>
      </c>
      <c r="M53" s="35"/>
      <c r="N53" s="35"/>
      <c r="O53" s="35"/>
    </row>
    <row r="54" spans="2:15">
      <c r="B54" s="36">
        <v>112</v>
      </c>
      <c r="C54" s="38" t="s">
        <v>97</v>
      </c>
      <c r="D54" s="35"/>
      <c r="E54" s="36">
        <v>132</v>
      </c>
      <c r="F54" s="37" t="s">
        <v>97</v>
      </c>
      <c r="G54" s="35"/>
      <c r="H54" s="36">
        <v>152</v>
      </c>
      <c r="I54" s="37" t="s">
        <v>97</v>
      </c>
      <c r="J54" s="35"/>
      <c r="K54" s="36">
        <v>172</v>
      </c>
      <c r="L54" s="37" t="s">
        <v>97</v>
      </c>
      <c r="M54" s="35"/>
      <c r="N54" s="35"/>
      <c r="O54" s="35"/>
    </row>
    <row r="55" spans="2:15">
      <c r="B55" s="36">
        <v>113</v>
      </c>
      <c r="C55" s="38" t="s">
        <v>97</v>
      </c>
      <c r="D55" s="35"/>
      <c r="E55" s="36">
        <v>133</v>
      </c>
      <c r="F55" s="37" t="s">
        <v>97</v>
      </c>
      <c r="G55" s="35"/>
      <c r="H55" s="36">
        <v>153</v>
      </c>
      <c r="I55" s="37" t="s">
        <v>97</v>
      </c>
      <c r="J55" s="35"/>
      <c r="K55" s="36">
        <v>173</v>
      </c>
      <c r="L55" s="37" t="s">
        <v>97</v>
      </c>
      <c r="M55" s="35"/>
      <c r="N55" s="35"/>
      <c r="O55" s="35"/>
    </row>
    <row r="56" spans="2:15">
      <c r="B56" s="36">
        <v>114</v>
      </c>
      <c r="C56" s="38" t="s">
        <v>97</v>
      </c>
      <c r="D56" s="35"/>
      <c r="E56" s="36">
        <v>134</v>
      </c>
      <c r="F56" s="37" t="s">
        <v>97</v>
      </c>
      <c r="G56" s="35"/>
      <c r="H56" s="36">
        <v>154</v>
      </c>
      <c r="I56" s="37" t="s">
        <v>97</v>
      </c>
      <c r="J56" s="35"/>
      <c r="K56" s="36">
        <v>174</v>
      </c>
      <c r="L56" s="37" t="s">
        <v>97</v>
      </c>
      <c r="M56" s="35"/>
      <c r="N56" s="35"/>
      <c r="O56" s="35"/>
    </row>
    <row r="57" spans="2:15">
      <c r="B57" s="36">
        <v>115</v>
      </c>
      <c r="C57" s="38" t="s">
        <v>97</v>
      </c>
      <c r="D57" s="35"/>
      <c r="E57" s="36">
        <v>135</v>
      </c>
      <c r="F57" s="37" t="s">
        <v>97</v>
      </c>
      <c r="G57" s="35"/>
      <c r="H57" s="36">
        <v>155</v>
      </c>
      <c r="I57" s="37" t="s">
        <v>97</v>
      </c>
      <c r="J57" s="35"/>
      <c r="K57" s="36">
        <v>175</v>
      </c>
      <c r="L57" s="37" t="s">
        <v>97</v>
      </c>
      <c r="M57" s="35"/>
      <c r="N57" s="35"/>
      <c r="O57" s="35"/>
    </row>
    <row r="58" spans="2:15">
      <c r="B58" s="36">
        <v>116</v>
      </c>
      <c r="C58" s="38" t="s">
        <v>97</v>
      </c>
      <c r="D58" s="35"/>
      <c r="E58" s="36">
        <v>136</v>
      </c>
      <c r="F58" s="37" t="s">
        <v>97</v>
      </c>
      <c r="G58" s="35"/>
      <c r="H58" s="36">
        <v>156</v>
      </c>
      <c r="I58" s="37" t="s">
        <v>97</v>
      </c>
      <c r="J58" s="35"/>
      <c r="K58" s="36">
        <v>176</v>
      </c>
      <c r="L58" s="37" t="s">
        <v>97</v>
      </c>
      <c r="M58" s="35"/>
      <c r="N58" s="35"/>
      <c r="O58" s="35"/>
    </row>
  </sheetData>
  <mergeCells count="22">
    <mergeCell ref="N11:N12"/>
    <mergeCell ref="O11:O12"/>
    <mergeCell ref="B11:B12"/>
    <mergeCell ref="C11:C12"/>
    <mergeCell ref="E11:E12"/>
    <mergeCell ref="F11:F12"/>
    <mergeCell ref="H11:H12"/>
    <mergeCell ref="B37:B38"/>
    <mergeCell ref="C37:C38"/>
    <mergeCell ref="E37:E38"/>
    <mergeCell ref="F37:F38"/>
    <mergeCell ref="H37:H38"/>
    <mergeCell ref="I37:I38"/>
    <mergeCell ref="K37:K38"/>
    <mergeCell ref="L37:L38"/>
    <mergeCell ref="C2:D2"/>
    <mergeCell ref="C3:D3"/>
    <mergeCell ref="C4:D4"/>
    <mergeCell ref="C5:D5"/>
    <mergeCell ref="I11:I12"/>
    <mergeCell ref="K11:K12"/>
    <mergeCell ref="L11:L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5"/>
  <sheetViews>
    <sheetView zoomScaleNormal="100" workbookViewId="0">
      <pane ySplit="6" topLeftCell="A33" activePane="bottomLeft" state="frozen"/>
      <selection pane="bottomLeft" activeCell="M57" sqref="M57"/>
    </sheetView>
  </sheetViews>
  <sheetFormatPr defaultColWidth="7" defaultRowHeight="12" customHeight="1"/>
  <cols>
    <col min="1" max="1" width="3.109375" style="39" customWidth="1"/>
    <col min="2" max="5" width="2.77734375" style="40" customWidth="1"/>
    <col min="6" max="6" width="23.88671875" style="41" customWidth="1"/>
    <col min="7" max="7" width="2" style="41" customWidth="1"/>
    <col min="8" max="8" width="3.109375" style="41" customWidth="1"/>
    <col min="9" max="12" width="2.77734375" style="41" customWidth="1"/>
    <col min="13" max="13" width="24.77734375" style="41" customWidth="1"/>
    <col min="14" max="14" width="2" style="41" customWidth="1"/>
    <col min="15" max="15" width="3.109375" style="41" customWidth="1"/>
    <col min="16" max="19" width="2.77734375" style="41" customWidth="1"/>
    <col min="20" max="20" width="23.109375" style="41" customWidth="1"/>
    <col min="21" max="21" width="7" style="41" customWidth="1"/>
    <col min="22" max="16384" width="7" style="41"/>
  </cols>
  <sheetData>
    <row r="1" spans="1:22" ht="34.5" customHeight="1">
      <c r="A1" s="97" t="s">
        <v>102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2" ht="15" customHeight="1">
      <c r="A2" s="98" t="s">
        <v>0</v>
      </c>
      <c r="B2" s="98"/>
      <c r="C2" s="98"/>
      <c r="D2" s="98"/>
      <c r="E2" s="42"/>
      <c r="F2" s="43"/>
      <c r="H2" s="99" t="s">
        <v>103</v>
      </c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1"/>
    </row>
    <row r="3" spans="1:22" ht="12" customHeight="1">
      <c r="A3" s="98" t="s">
        <v>104</v>
      </c>
      <c r="B3" s="98"/>
      <c r="C3" s="98"/>
      <c r="D3" s="98"/>
      <c r="E3" s="42"/>
      <c r="F3" s="44"/>
      <c r="H3" s="102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4"/>
    </row>
    <row r="4" spans="1:22" ht="14.25" customHeight="1">
      <c r="A4" s="98" t="s">
        <v>105</v>
      </c>
      <c r="B4" s="98"/>
      <c r="C4" s="98"/>
      <c r="D4" s="98"/>
      <c r="E4" s="42"/>
      <c r="F4" s="43"/>
      <c r="H4" s="102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</row>
    <row r="5" spans="1:22" ht="18" customHeight="1">
      <c r="A5" s="98" t="s">
        <v>106</v>
      </c>
      <c r="B5" s="98"/>
      <c r="C5" s="98"/>
      <c r="D5" s="98"/>
      <c r="E5" s="42"/>
      <c r="F5" s="45" t="s">
        <v>6</v>
      </c>
      <c r="H5" s="105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7"/>
    </row>
    <row r="6" spans="1:22" ht="12.75" customHeight="1"/>
    <row r="7" spans="1:22" s="39" customFormat="1" ht="12.75" customHeight="1">
      <c r="A7" s="46" t="s">
        <v>8</v>
      </c>
      <c r="B7" s="47" t="s">
        <v>52</v>
      </c>
      <c r="C7" s="48"/>
      <c r="D7" s="49" t="s">
        <v>80</v>
      </c>
      <c r="E7" s="50"/>
      <c r="F7" s="51" t="s">
        <v>107</v>
      </c>
      <c r="H7" s="46" t="s">
        <v>8</v>
      </c>
      <c r="I7" s="47" t="s">
        <v>52</v>
      </c>
      <c r="J7" s="48"/>
      <c r="K7" s="49" t="s">
        <v>80</v>
      </c>
      <c r="L7" s="52"/>
      <c r="M7" s="51" t="s">
        <v>107</v>
      </c>
      <c r="O7" s="46" t="s">
        <v>8</v>
      </c>
      <c r="P7" s="47" t="s">
        <v>52</v>
      </c>
      <c r="Q7" s="48"/>
      <c r="R7" s="49" t="s">
        <v>80</v>
      </c>
      <c r="S7" s="52"/>
      <c r="T7" s="51" t="s">
        <v>107</v>
      </c>
      <c r="V7" s="53"/>
    </row>
    <row r="8" spans="1:22">
      <c r="A8" s="94">
        <v>1</v>
      </c>
      <c r="B8" s="54"/>
      <c r="C8" s="55">
        <f>IF(B8="",0,1)</f>
        <v>0</v>
      </c>
      <c r="D8" s="56"/>
      <c r="E8" s="57">
        <f>IF(D8="",0,1)</f>
        <v>0</v>
      </c>
      <c r="F8" s="58" t="s">
        <v>108</v>
      </c>
      <c r="H8" s="94">
        <v>9</v>
      </c>
      <c r="I8" s="54"/>
      <c r="J8" s="55">
        <f>IF(I8="",0,1)</f>
        <v>0</v>
      </c>
      <c r="K8" s="59"/>
      <c r="L8" s="57">
        <f>IF(K8="",0,1)</f>
        <v>0</v>
      </c>
      <c r="M8" s="60" t="s">
        <v>109</v>
      </c>
      <c r="O8" s="94">
        <v>17</v>
      </c>
      <c r="P8" s="54"/>
      <c r="Q8" s="55">
        <f>IF(P8="",0,1)</f>
        <v>0</v>
      </c>
      <c r="R8" s="59"/>
      <c r="S8" s="57">
        <f>IF(R8="",0,1)</f>
        <v>0</v>
      </c>
      <c r="T8" s="60" t="s">
        <v>110</v>
      </c>
      <c r="V8" s="61"/>
    </row>
    <row r="9" spans="1:22">
      <c r="A9" s="95"/>
      <c r="B9" s="62"/>
      <c r="C9" s="63">
        <f>IF(B9="",0,2)</f>
        <v>0</v>
      </c>
      <c r="D9" s="56"/>
      <c r="E9" s="64">
        <f>IF(D9="",0,2)</f>
        <v>0</v>
      </c>
      <c r="F9" s="65" t="s">
        <v>111</v>
      </c>
      <c r="H9" s="95"/>
      <c r="I9" s="62"/>
      <c r="J9" s="63">
        <f>IF(I9="",0,2)</f>
        <v>0</v>
      </c>
      <c r="K9" s="56"/>
      <c r="L9" s="64">
        <f>IF(K9="",0,2)</f>
        <v>0</v>
      </c>
      <c r="M9" s="60" t="s">
        <v>112</v>
      </c>
      <c r="O9" s="95"/>
      <c r="P9" s="62"/>
      <c r="Q9" s="63">
        <f>IF(P9="",0,2)</f>
        <v>0</v>
      </c>
      <c r="R9" s="56"/>
      <c r="S9" s="64">
        <f>IF(R9="",0,2)</f>
        <v>0</v>
      </c>
      <c r="T9" s="60" t="s">
        <v>113</v>
      </c>
      <c r="V9" s="61"/>
    </row>
    <row r="10" spans="1:22">
      <c r="A10" s="95"/>
      <c r="B10" s="62"/>
      <c r="C10" s="63">
        <f>IF(B10="",0,3)</f>
        <v>0</v>
      </c>
      <c r="D10" s="56"/>
      <c r="E10" s="64">
        <f>IF(D10="",0,3)</f>
        <v>0</v>
      </c>
      <c r="F10" s="65" t="s">
        <v>114</v>
      </c>
      <c r="H10" s="95"/>
      <c r="I10" s="62"/>
      <c r="J10" s="63">
        <f>IF(I10="",0,3)</f>
        <v>0</v>
      </c>
      <c r="K10" s="56"/>
      <c r="L10" s="64">
        <f>IF(K10="",0,3)</f>
        <v>0</v>
      </c>
      <c r="M10" s="60" t="s">
        <v>115</v>
      </c>
      <c r="O10" s="95"/>
      <c r="P10" s="62"/>
      <c r="Q10" s="63">
        <f>IF(P10="",0,3)</f>
        <v>0</v>
      </c>
      <c r="R10" s="56"/>
      <c r="S10" s="64">
        <f>IF(R10="",0,3)</f>
        <v>0</v>
      </c>
      <c r="T10" s="60" t="s">
        <v>116</v>
      </c>
      <c r="V10" s="61"/>
    </row>
    <row r="11" spans="1:22" ht="12.75" customHeight="1">
      <c r="A11" s="96"/>
      <c r="B11" s="66"/>
      <c r="C11" s="67">
        <f>IF(B11="",0,4)</f>
        <v>0</v>
      </c>
      <c r="D11" s="68"/>
      <c r="E11" s="69">
        <f>IF(D11="",0,4)</f>
        <v>0</v>
      </c>
      <c r="F11" s="70" t="s">
        <v>117</v>
      </c>
      <c r="H11" s="96"/>
      <c r="I11" s="66"/>
      <c r="J11" s="67">
        <f>IF(I11="",0,4)</f>
        <v>0</v>
      </c>
      <c r="K11" s="68"/>
      <c r="L11" s="69">
        <f>IF(K11="",0,4)</f>
        <v>0</v>
      </c>
      <c r="M11" s="71" t="s">
        <v>118</v>
      </c>
      <c r="O11" s="96"/>
      <c r="P11" s="66"/>
      <c r="Q11" s="67">
        <f>IF(P11="",0,4)</f>
        <v>0</v>
      </c>
      <c r="R11" s="68"/>
      <c r="S11" s="69">
        <f>IF(R11="",0,4)</f>
        <v>0</v>
      </c>
      <c r="T11" s="71" t="s">
        <v>119</v>
      </c>
      <c r="V11" s="61"/>
    </row>
    <row r="12" spans="1:22" s="72" customFormat="1" ht="6" customHeight="1">
      <c r="A12" s="53"/>
      <c r="B12" s="73">
        <f>(COUNTIF(B8:B11,"x"))</f>
        <v>0</v>
      </c>
      <c r="C12" s="74">
        <f>SUM(C8:C11)</f>
        <v>0</v>
      </c>
      <c r="D12" s="73">
        <f>(COUNTIF(D8:D11,"x"))</f>
        <v>0</v>
      </c>
      <c r="E12" s="73">
        <f>SUM(E8:E11)</f>
        <v>0</v>
      </c>
      <c r="F12" s="75"/>
      <c r="G12" s="61"/>
      <c r="H12" s="53"/>
      <c r="I12" s="73">
        <f>(COUNTIF(I8:I11,"x"))</f>
        <v>0</v>
      </c>
      <c r="J12" s="74">
        <f>SUM(J8:J11)</f>
        <v>0</v>
      </c>
      <c r="K12" s="73">
        <f>(COUNTIF(K8:K11,"x"))</f>
        <v>0</v>
      </c>
      <c r="L12" s="73">
        <f>SUM(L8:L11)</f>
        <v>0</v>
      </c>
      <c r="M12" s="61"/>
      <c r="N12" s="61"/>
      <c r="O12" s="53"/>
      <c r="P12" s="73">
        <f>(COUNTIF(P8:P11,"x"))</f>
        <v>0</v>
      </c>
      <c r="Q12" s="74">
        <f>SUM(Q8:Q11)</f>
        <v>0</v>
      </c>
      <c r="R12" s="73">
        <f>(COUNTIF(R8:R11,"x"))</f>
        <v>0</v>
      </c>
      <c r="S12" s="73">
        <f>SUM(S8:S11)</f>
        <v>0</v>
      </c>
      <c r="T12" s="61"/>
      <c r="V12" s="61">
        <f>SUM(B12,D12,I12,K12,P12,R12)</f>
        <v>0</v>
      </c>
    </row>
    <row r="13" spans="1:22" s="39" customFormat="1" ht="12.75" customHeight="1">
      <c r="A13" s="46" t="s">
        <v>8</v>
      </c>
      <c r="B13" s="47" t="s">
        <v>52</v>
      </c>
      <c r="C13" s="48"/>
      <c r="D13" s="49" t="s">
        <v>80</v>
      </c>
      <c r="E13" s="76"/>
      <c r="F13" s="51" t="s">
        <v>107</v>
      </c>
      <c r="H13" s="46" t="s">
        <v>8</v>
      </c>
      <c r="I13" s="47" t="s">
        <v>52</v>
      </c>
      <c r="J13" s="48"/>
      <c r="K13" s="49" t="s">
        <v>80</v>
      </c>
      <c r="L13" s="76"/>
      <c r="M13" s="51" t="s">
        <v>107</v>
      </c>
      <c r="O13" s="46" t="s">
        <v>8</v>
      </c>
      <c r="P13" s="47" t="s">
        <v>52</v>
      </c>
      <c r="Q13" s="48"/>
      <c r="R13" s="49" t="s">
        <v>80</v>
      </c>
      <c r="S13" s="76"/>
      <c r="T13" s="51" t="s">
        <v>107</v>
      </c>
      <c r="V13" s="53"/>
    </row>
    <row r="14" spans="1:22">
      <c r="A14" s="94">
        <v>2</v>
      </c>
      <c r="B14" s="54"/>
      <c r="C14" s="55">
        <f>IF(B14="",0,1)</f>
        <v>0</v>
      </c>
      <c r="D14" s="59"/>
      <c r="E14" s="57">
        <f>IF(D14="",0,1)</f>
        <v>0</v>
      </c>
      <c r="F14" s="58" t="s">
        <v>120</v>
      </c>
      <c r="H14" s="94">
        <f>H8+1</f>
        <v>10</v>
      </c>
      <c r="I14" s="54"/>
      <c r="J14" s="55">
        <f>IF(I14="",0,1)</f>
        <v>0</v>
      </c>
      <c r="K14" s="59"/>
      <c r="L14" s="57">
        <f>IF(K14="",0,1)</f>
        <v>0</v>
      </c>
      <c r="M14" s="60" t="s">
        <v>121</v>
      </c>
      <c r="O14" s="94">
        <f>O8+1</f>
        <v>18</v>
      </c>
      <c r="P14" s="54"/>
      <c r="Q14" s="55">
        <f>IF(P14="",0,1)</f>
        <v>0</v>
      </c>
      <c r="R14" s="59"/>
      <c r="S14" s="57">
        <f>IF(R14="",0,1)</f>
        <v>0</v>
      </c>
      <c r="T14" s="60" t="s">
        <v>122</v>
      </c>
      <c r="V14" s="61"/>
    </row>
    <row r="15" spans="1:22">
      <c r="A15" s="95"/>
      <c r="B15" s="54"/>
      <c r="C15" s="63">
        <f>IF(B15="",0,2)</f>
        <v>0</v>
      </c>
      <c r="D15" s="59"/>
      <c r="E15" s="64">
        <f>IF(D15="",0,2)</f>
        <v>0</v>
      </c>
      <c r="F15" s="65" t="s">
        <v>123</v>
      </c>
      <c r="H15" s="95"/>
      <c r="I15" s="62"/>
      <c r="J15" s="63">
        <f>IF(I15="",0,2)</f>
        <v>0</v>
      </c>
      <c r="K15" s="56"/>
      <c r="L15" s="64">
        <f>IF(K15="",0,2)</f>
        <v>0</v>
      </c>
      <c r="M15" s="60" t="s">
        <v>124</v>
      </c>
      <c r="O15" s="95"/>
      <c r="P15" s="62"/>
      <c r="Q15" s="63">
        <f>IF(P15="",0,2)</f>
        <v>0</v>
      </c>
      <c r="R15" s="56"/>
      <c r="S15" s="64">
        <f>IF(R15="",0,2)</f>
        <v>0</v>
      </c>
      <c r="T15" s="60" t="s">
        <v>125</v>
      </c>
      <c r="V15" s="61"/>
    </row>
    <row r="16" spans="1:22">
      <c r="A16" s="95"/>
      <c r="B16" s="54"/>
      <c r="C16" s="63">
        <f>IF(B16="",0,3)</f>
        <v>0</v>
      </c>
      <c r="D16" s="59"/>
      <c r="E16" s="64">
        <f>IF(D16="",0,3)</f>
        <v>0</v>
      </c>
      <c r="F16" s="65" t="s">
        <v>126</v>
      </c>
      <c r="H16" s="95"/>
      <c r="I16" s="62"/>
      <c r="J16" s="63">
        <f>IF(I16="",0,3)</f>
        <v>0</v>
      </c>
      <c r="K16" s="56"/>
      <c r="L16" s="64">
        <f>IF(K16="",0,3)</f>
        <v>0</v>
      </c>
      <c r="M16" s="60" t="s">
        <v>127</v>
      </c>
      <c r="O16" s="95"/>
      <c r="P16" s="62"/>
      <c r="Q16" s="63">
        <f>IF(P16="",0,3)</f>
        <v>0</v>
      </c>
      <c r="R16" s="56"/>
      <c r="S16" s="64">
        <f>IF(R16="",0,3)</f>
        <v>0</v>
      </c>
      <c r="T16" s="60" t="s">
        <v>128</v>
      </c>
      <c r="V16" s="61"/>
    </row>
    <row r="17" spans="1:22" ht="12.75" customHeight="1">
      <c r="A17" s="96"/>
      <c r="B17" s="66"/>
      <c r="C17" s="67">
        <f>IF(B17="",0,4)</f>
        <v>0</v>
      </c>
      <c r="D17" s="68"/>
      <c r="E17" s="69">
        <f>IF(D17="",0,4)</f>
        <v>0</v>
      </c>
      <c r="F17" s="70" t="s">
        <v>129</v>
      </c>
      <c r="H17" s="96"/>
      <c r="I17" s="66"/>
      <c r="J17" s="67">
        <f>IF(I17="",0,4)</f>
        <v>0</v>
      </c>
      <c r="K17" s="68"/>
      <c r="L17" s="69">
        <f>IF(K17="",0,4)</f>
        <v>0</v>
      </c>
      <c r="M17" s="71" t="s">
        <v>130</v>
      </c>
      <c r="O17" s="96"/>
      <c r="P17" s="66"/>
      <c r="Q17" s="67">
        <f>IF(P17="",0,4)</f>
        <v>0</v>
      </c>
      <c r="R17" s="68"/>
      <c r="S17" s="69">
        <f>IF(R17="",0,4)</f>
        <v>0</v>
      </c>
      <c r="T17" s="71" t="s">
        <v>131</v>
      </c>
      <c r="V17" s="61"/>
    </row>
    <row r="18" spans="1:22" ht="6" customHeight="1">
      <c r="A18" s="53"/>
      <c r="B18" s="73">
        <f>(COUNTIF(B14:B17,"x"))</f>
        <v>0</v>
      </c>
      <c r="C18" s="74">
        <f>SUM(C14:C17)</f>
        <v>0</v>
      </c>
      <c r="D18" s="73">
        <f>(COUNTIF(D14:D17,"x"))</f>
        <v>0</v>
      </c>
      <c r="E18" s="73">
        <f>SUM(E14:E17)</f>
        <v>0</v>
      </c>
      <c r="F18" s="61"/>
      <c r="G18" s="61"/>
      <c r="H18" s="53"/>
      <c r="I18" s="73">
        <f>(COUNTIF(I14:I17,"x"))</f>
        <v>0</v>
      </c>
      <c r="J18" s="74">
        <f>SUM(J14:J17)</f>
        <v>0</v>
      </c>
      <c r="K18" s="73">
        <f>(COUNTIF(K14:K17,"x"))</f>
        <v>0</v>
      </c>
      <c r="L18" s="73">
        <f>SUM(L14:L17)</f>
        <v>0</v>
      </c>
      <c r="M18" s="61"/>
      <c r="N18" s="61"/>
      <c r="O18" s="53"/>
      <c r="P18" s="73">
        <f>(COUNTIF(P14:P17,"x"))</f>
        <v>0</v>
      </c>
      <c r="Q18" s="74">
        <f>SUM(Q14:Q17)</f>
        <v>0</v>
      </c>
      <c r="R18" s="73">
        <f>(COUNTIF(R14:R17,"x"))</f>
        <v>0</v>
      </c>
      <c r="S18" s="73">
        <f>SUM(S14:S17)</f>
        <v>0</v>
      </c>
      <c r="T18" s="61"/>
      <c r="V18" s="61">
        <f>SUM(B18,D18,I18,K18,P18,R18)</f>
        <v>0</v>
      </c>
    </row>
    <row r="19" spans="1:22" s="39" customFormat="1" ht="12.75" customHeight="1">
      <c r="A19" s="46" t="s">
        <v>8</v>
      </c>
      <c r="B19" s="47" t="s">
        <v>52</v>
      </c>
      <c r="C19" s="48"/>
      <c r="D19" s="49" t="s">
        <v>80</v>
      </c>
      <c r="E19" s="76"/>
      <c r="F19" s="51" t="s">
        <v>107</v>
      </c>
      <c r="H19" s="46" t="s">
        <v>8</v>
      </c>
      <c r="I19" s="47" t="s">
        <v>52</v>
      </c>
      <c r="J19" s="48"/>
      <c r="K19" s="49" t="s">
        <v>80</v>
      </c>
      <c r="L19" s="76"/>
      <c r="M19" s="51" t="s">
        <v>107</v>
      </c>
      <c r="O19" s="46" t="s">
        <v>8</v>
      </c>
      <c r="P19" s="47" t="s">
        <v>52</v>
      </c>
      <c r="Q19" s="48"/>
      <c r="R19" s="49" t="s">
        <v>80</v>
      </c>
      <c r="S19" s="76"/>
      <c r="T19" s="51" t="s">
        <v>107</v>
      </c>
      <c r="V19" s="53"/>
    </row>
    <row r="20" spans="1:22">
      <c r="A20" s="94">
        <v>3</v>
      </c>
      <c r="B20" s="54"/>
      <c r="C20" s="55">
        <f>IF(B20="",0,1)</f>
        <v>0</v>
      </c>
      <c r="D20" s="59"/>
      <c r="E20" s="57">
        <f>IF(D20="",0,1)</f>
        <v>0</v>
      </c>
      <c r="F20" s="58" t="s">
        <v>132</v>
      </c>
      <c r="H20" s="94">
        <f>H14+1</f>
        <v>11</v>
      </c>
      <c r="I20" s="54"/>
      <c r="J20" s="55">
        <f>IF(I20="",0,1)</f>
        <v>0</v>
      </c>
      <c r="K20" s="59"/>
      <c r="L20" s="57">
        <f>IF(K20="",0,1)</f>
        <v>0</v>
      </c>
      <c r="M20" s="60" t="s">
        <v>133</v>
      </c>
      <c r="O20" s="94">
        <f>O14+1</f>
        <v>19</v>
      </c>
      <c r="P20" s="54"/>
      <c r="Q20" s="55">
        <f>IF(P20="",0,1)</f>
        <v>0</v>
      </c>
      <c r="R20" s="59"/>
      <c r="S20" s="57">
        <f>IF(R20="",0,1)</f>
        <v>0</v>
      </c>
      <c r="T20" s="60" t="s">
        <v>134</v>
      </c>
      <c r="V20" s="61"/>
    </row>
    <row r="21" spans="1:22">
      <c r="A21" s="95"/>
      <c r="B21" s="62"/>
      <c r="C21" s="63">
        <f>IF(B21="",0,2)</f>
        <v>0</v>
      </c>
      <c r="D21" s="56"/>
      <c r="E21" s="64">
        <f>IF(D21="",0,2)</f>
        <v>0</v>
      </c>
      <c r="F21" s="65" t="s">
        <v>135</v>
      </c>
      <c r="H21" s="95"/>
      <c r="I21" s="62"/>
      <c r="J21" s="63">
        <f>IF(I21="",0,2)</f>
        <v>0</v>
      </c>
      <c r="K21" s="56"/>
      <c r="L21" s="64">
        <f>IF(K21="",0,2)</f>
        <v>0</v>
      </c>
      <c r="M21" s="60" t="s">
        <v>136</v>
      </c>
      <c r="O21" s="95"/>
      <c r="P21" s="62"/>
      <c r="Q21" s="63">
        <f>IF(P21="",0,2)</f>
        <v>0</v>
      </c>
      <c r="R21" s="56"/>
      <c r="S21" s="64">
        <f>IF(R21="",0,2)</f>
        <v>0</v>
      </c>
      <c r="T21" s="77" t="s">
        <v>137</v>
      </c>
      <c r="V21" s="61"/>
    </row>
    <row r="22" spans="1:22">
      <c r="A22" s="95"/>
      <c r="B22" s="62"/>
      <c r="C22" s="63">
        <f>IF(B22="",0,3)</f>
        <v>0</v>
      </c>
      <c r="D22" s="56"/>
      <c r="E22" s="64">
        <f>IF(D22="",0,3)</f>
        <v>0</v>
      </c>
      <c r="F22" s="65" t="s">
        <v>138</v>
      </c>
      <c r="H22" s="95"/>
      <c r="I22" s="62"/>
      <c r="J22" s="63">
        <f>IF(I22="",0,3)</f>
        <v>0</v>
      </c>
      <c r="K22" s="56"/>
      <c r="L22" s="64">
        <f>IF(K22="",0,3)</f>
        <v>0</v>
      </c>
      <c r="M22" s="60" t="s">
        <v>139</v>
      </c>
      <c r="O22" s="95"/>
      <c r="P22" s="62"/>
      <c r="Q22" s="63">
        <f>IF(P22="",0,3)</f>
        <v>0</v>
      </c>
      <c r="R22" s="56"/>
      <c r="S22" s="64">
        <f>IF(R22="",0,3)</f>
        <v>0</v>
      </c>
      <c r="T22" s="60" t="s">
        <v>140</v>
      </c>
      <c r="V22" s="61"/>
    </row>
    <row r="23" spans="1:22" ht="12.75" customHeight="1">
      <c r="A23" s="96"/>
      <c r="B23" s="66"/>
      <c r="C23" s="67">
        <f>IF(B23="",0,4)</f>
        <v>0</v>
      </c>
      <c r="D23" s="68"/>
      <c r="E23" s="69">
        <f>IF(D23="",0,4)</f>
        <v>0</v>
      </c>
      <c r="F23" s="70" t="s">
        <v>141</v>
      </c>
      <c r="H23" s="96"/>
      <c r="I23" s="66"/>
      <c r="J23" s="67">
        <f>IF(I23="",0,4)</f>
        <v>0</v>
      </c>
      <c r="K23" s="68"/>
      <c r="L23" s="69">
        <f>IF(K23="",0,4)</f>
        <v>0</v>
      </c>
      <c r="M23" s="71" t="s">
        <v>142</v>
      </c>
      <c r="O23" s="96"/>
      <c r="P23" s="66"/>
      <c r="Q23" s="67">
        <f>IF(P23="",0,4)</f>
        <v>0</v>
      </c>
      <c r="R23" s="68"/>
      <c r="S23" s="69">
        <f>IF(R23="",0,4)</f>
        <v>0</v>
      </c>
      <c r="T23" s="71" t="s">
        <v>143</v>
      </c>
      <c r="V23" s="61"/>
    </row>
    <row r="24" spans="1:22" ht="6" customHeight="1">
      <c r="A24" s="53"/>
      <c r="B24" s="73">
        <f>(COUNTIF(B20:B23,"x"))</f>
        <v>0</v>
      </c>
      <c r="C24" s="74">
        <f>SUM(C20:C23)</f>
        <v>0</v>
      </c>
      <c r="D24" s="73">
        <f>(COUNTIF(D20:D23,"x"))</f>
        <v>0</v>
      </c>
      <c r="E24" s="73">
        <f>SUM(E20:E23)</f>
        <v>0</v>
      </c>
      <c r="F24" s="61"/>
      <c r="G24" s="61"/>
      <c r="H24" s="53"/>
      <c r="I24" s="73">
        <f>(COUNTIF(I20:I23,"x"))</f>
        <v>0</v>
      </c>
      <c r="J24" s="74">
        <f>SUM(J20:J23)</f>
        <v>0</v>
      </c>
      <c r="K24" s="73">
        <f>(COUNTIF(K20:K23,"x"))</f>
        <v>0</v>
      </c>
      <c r="L24" s="73">
        <f>SUM(L20:L23)</f>
        <v>0</v>
      </c>
      <c r="M24" s="61"/>
      <c r="N24" s="61"/>
      <c r="O24" s="53"/>
      <c r="P24" s="73">
        <f>(COUNTIF(P20:P23,"x"))</f>
        <v>0</v>
      </c>
      <c r="Q24" s="74">
        <f>SUM(Q20:Q23)</f>
        <v>0</v>
      </c>
      <c r="R24" s="73">
        <f>(COUNTIF(R20:R23,"x"))</f>
        <v>0</v>
      </c>
      <c r="S24" s="73">
        <f>SUM(S20:S23)</f>
        <v>0</v>
      </c>
      <c r="T24" s="61"/>
      <c r="V24" s="61">
        <f>SUM(B24,D24,I24,K24,P24,R24)</f>
        <v>0</v>
      </c>
    </row>
    <row r="25" spans="1:22" s="39" customFormat="1" ht="12.75" customHeight="1">
      <c r="A25" s="46" t="s">
        <v>8</v>
      </c>
      <c r="B25" s="47" t="s">
        <v>52</v>
      </c>
      <c r="C25" s="48"/>
      <c r="D25" s="49" t="s">
        <v>80</v>
      </c>
      <c r="E25" s="76"/>
      <c r="F25" s="51" t="s">
        <v>107</v>
      </c>
      <c r="H25" s="46" t="s">
        <v>8</v>
      </c>
      <c r="I25" s="47" t="s">
        <v>52</v>
      </c>
      <c r="J25" s="48"/>
      <c r="K25" s="49" t="s">
        <v>80</v>
      </c>
      <c r="L25" s="76"/>
      <c r="M25" s="51" t="s">
        <v>107</v>
      </c>
      <c r="O25" s="46" t="s">
        <v>8</v>
      </c>
      <c r="P25" s="47" t="s">
        <v>52</v>
      </c>
      <c r="Q25" s="48"/>
      <c r="R25" s="49" t="s">
        <v>80</v>
      </c>
      <c r="S25" s="76"/>
      <c r="T25" s="51" t="s">
        <v>107</v>
      </c>
      <c r="V25" s="53"/>
    </row>
    <row r="26" spans="1:22">
      <c r="A26" s="94">
        <f>A20+1</f>
        <v>4</v>
      </c>
      <c r="B26" s="54"/>
      <c r="C26" s="55">
        <f>IF(B26="",0,1)</f>
        <v>0</v>
      </c>
      <c r="D26" s="59"/>
      <c r="E26" s="57">
        <f>IF(D26="",0,1)</f>
        <v>0</v>
      </c>
      <c r="F26" s="58" t="s">
        <v>144</v>
      </c>
      <c r="H26" s="94">
        <f>H20+1</f>
        <v>12</v>
      </c>
      <c r="I26" s="54"/>
      <c r="J26" s="55">
        <f>IF(I26="",0,1)</f>
        <v>0</v>
      </c>
      <c r="K26" s="59"/>
      <c r="L26" s="57">
        <f>IF(K26="",0,1)</f>
        <v>0</v>
      </c>
      <c r="M26" s="60" t="s">
        <v>145</v>
      </c>
      <c r="O26" s="94">
        <f>O20+1</f>
        <v>20</v>
      </c>
      <c r="P26" s="54"/>
      <c r="Q26" s="55">
        <f>IF(P26="",0,1)</f>
        <v>0</v>
      </c>
      <c r="R26" s="59"/>
      <c r="S26" s="57">
        <f>IF(R26="",0,1)</f>
        <v>0</v>
      </c>
      <c r="T26" s="60" t="s">
        <v>146</v>
      </c>
      <c r="V26" s="61"/>
    </row>
    <row r="27" spans="1:22">
      <c r="A27" s="95"/>
      <c r="B27" s="62"/>
      <c r="C27" s="63">
        <f>IF(B27="",0,2)</f>
        <v>0</v>
      </c>
      <c r="D27" s="56"/>
      <c r="E27" s="64">
        <f>IF(D27="",0,2)</f>
        <v>0</v>
      </c>
      <c r="F27" s="65" t="s">
        <v>147</v>
      </c>
      <c r="H27" s="95"/>
      <c r="I27" s="62"/>
      <c r="J27" s="63">
        <f>IF(I27="",0,2)</f>
        <v>0</v>
      </c>
      <c r="K27" s="56"/>
      <c r="L27" s="64">
        <f>IF(K27="",0,2)</f>
        <v>0</v>
      </c>
      <c r="M27" s="60" t="s">
        <v>148</v>
      </c>
      <c r="O27" s="95"/>
      <c r="P27" s="62"/>
      <c r="Q27" s="63">
        <f>IF(P27="",0,2)</f>
        <v>0</v>
      </c>
      <c r="R27" s="56"/>
      <c r="S27" s="64">
        <f>IF(R27="",0,2)</f>
        <v>0</v>
      </c>
      <c r="T27" s="60" t="s">
        <v>149</v>
      </c>
      <c r="V27" s="61"/>
    </row>
    <row r="28" spans="1:22">
      <c r="A28" s="95"/>
      <c r="B28" s="62"/>
      <c r="C28" s="63">
        <f>IF(B28="",0,3)</f>
        <v>0</v>
      </c>
      <c r="D28" s="56"/>
      <c r="E28" s="64">
        <f>IF(D28="",0,3)</f>
        <v>0</v>
      </c>
      <c r="F28" s="65" t="s">
        <v>150</v>
      </c>
      <c r="H28" s="95"/>
      <c r="I28" s="62"/>
      <c r="J28" s="63">
        <f>IF(I28="",0,3)</f>
        <v>0</v>
      </c>
      <c r="K28" s="56"/>
      <c r="L28" s="64">
        <f>IF(K28="",0,3)</f>
        <v>0</v>
      </c>
      <c r="M28" s="60" t="s">
        <v>151</v>
      </c>
      <c r="O28" s="95"/>
      <c r="P28" s="62"/>
      <c r="Q28" s="63">
        <f>IF(P28="",0,3)</f>
        <v>0</v>
      </c>
      <c r="R28" s="56"/>
      <c r="S28" s="64">
        <f>IF(R28="",0,3)</f>
        <v>0</v>
      </c>
      <c r="T28" s="60" t="s">
        <v>152</v>
      </c>
      <c r="V28" s="61"/>
    </row>
    <row r="29" spans="1:22" ht="12.75" customHeight="1">
      <c r="A29" s="96"/>
      <c r="B29" s="66"/>
      <c r="C29" s="67">
        <f>IF(B29="",0,4)</f>
        <v>0</v>
      </c>
      <c r="D29" s="68"/>
      <c r="E29" s="69">
        <f>IF(D29="",0,4)</f>
        <v>0</v>
      </c>
      <c r="F29" s="70" t="s">
        <v>153</v>
      </c>
      <c r="H29" s="96"/>
      <c r="I29" s="66"/>
      <c r="J29" s="67">
        <f>IF(I29="",0,4)</f>
        <v>0</v>
      </c>
      <c r="K29" s="68"/>
      <c r="L29" s="69">
        <f>IF(K29="",0,4)</f>
        <v>0</v>
      </c>
      <c r="M29" s="71" t="s">
        <v>154</v>
      </c>
      <c r="O29" s="96"/>
      <c r="P29" s="66"/>
      <c r="Q29" s="67">
        <f>IF(P29="",0,4)</f>
        <v>0</v>
      </c>
      <c r="R29" s="68"/>
      <c r="S29" s="69">
        <f>IF(R29="",0,4)</f>
        <v>0</v>
      </c>
      <c r="T29" s="71" t="s">
        <v>155</v>
      </c>
      <c r="V29" s="61"/>
    </row>
    <row r="30" spans="1:22" ht="6" customHeight="1">
      <c r="A30" s="53"/>
      <c r="B30" s="73">
        <f>(COUNTIF(B26:B29,"x"))</f>
        <v>0</v>
      </c>
      <c r="C30" s="74">
        <f>SUM(C26:C29)</f>
        <v>0</v>
      </c>
      <c r="D30" s="73">
        <f>(COUNTIF(D26:D29,"x"))</f>
        <v>0</v>
      </c>
      <c r="E30" s="73">
        <f>SUM(E26:E29)</f>
        <v>0</v>
      </c>
      <c r="F30" s="61"/>
      <c r="G30" s="61"/>
      <c r="H30" s="53"/>
      <c r="I30" s="73">
        <f>(COUNTIF(I26:I29,"x"))</f>
        <v>0</v>
      </c>
      <c r="J30" s="74">
        <f>SUM(J26:J29)</f>
        <v>0</v>
      </c>
      <c r="K30" s="73">
        <f>(COUNTIF(K26:K29,"x"))</f>
        <v>0</v>
      </c>
      <c r="L30" s="73">
        <f>SUM(L26:L29)</f>
        <v>0</v>
      </c>
      <c r="M30" s="61"/>
      <c r="N30" s="61"/>
      <c r="O30" s="53"/>
      <c r="P30" s="73">
        <f>(COUNTIF(P26:P29,"x"))</f>
        <v>0</v>
      </c>
      <c r="Q30" s="74">
        <f>SUM(Q26:Q29)</f>
        <v>0</v>
      </c>
      <c r="R30" s="73">
        <f>(COUNTIF(R26:R29,"x"))</f>
        <v>0</v>
      </c>
      <c r="S30" s="73">
        <f>SUM(S26:S29)</f>
        <v>0</v>
      </c>
      <c r="T30" s="61"/>
      <c r="V30" s="61">
        <f>SUM(B30,D30,I30,K30,P30,R30)</f>
        <v>0</v>
      </c>
    </row>
    <row r="31" spans="1:22" s="39" customFormat="1" ht="12.75" customHeight="1">
      <c r="A31" s="46" t="s">
        <v>8</v>
      </c>
      <c r="B31" s="47" t="s">
        <v>52</v>
      </c>
      <c r="C31" s="48"/>
      <c r="D31" s="49" t="s">
        <v>80</v>
      </c>
      <c r="E31" s="76"/>
      <c r="F31" s="51" t="s">
        <v>107</v>
      </c>
      <c r="H31" s="46" t="s">
        <v>8</v>
      </c>
      <c r="I31" s="47" t="s">
        <v>52</v>
      </c>
      <c r="J31" s="48"/>
      <c r="K31" s="49" t="s">
        <v>80</v>
      </c>
      <c r="L31" s="76"/>
      <c r="M31" s="51" t="s">
        <v>107</v>
      </c>
      <c r="O31" s="46" t="s">
        <v>8</v>
      </c>
      <c r="P31" s="47" t="s">
        <v>52</v>
      </c>
      <c r="Q31" s="48"/>
      <c r="R31" s="49" t="s">
        <v>80</v>
      </c>
      <c r="S31" s="76"/>
      <c r="T31" s="51" t="s">
        <v>107</v>
      </c>
      <c r="V31" s="53"/>
    </row>
    <row r="32" spans="1:22">
      <c r="A32" s="94">
        <f>A26+1</f>
        <v>5</v>
      </c>
      <c r="B32" s="54"/>
      <c r="C32" s="55">
        <f>IF(B32="",0,1)</f>
        <v>0</v>
      </c>
      <c r="D32" s="59"/>
      <c r="E32" s="57">
        <f>IF(D32="",0,1)</f>
        <v>0</v>
      </c>
      <c r="F32" s="58" t="s">
        <v>156</v>
      </c>
      <c r="H32" s="94">
        <f>H26+1</f>
        <v>13</v>
      </c>
      <c r="I32" s="54"/>
      <c r="J32" s="55">
        <f>IF(I32="",0,1)</f>
        <v>0</v>
      </c>
      <c r="K32" s="59"/>
      <c r="L32" s="57">
        <f>IF(K32="",0,1)</f>
        <v>0</v>
      </c>
      <c r="M32" s="60" t="s">
        <v>157</v>
      </c>
      <c r="O32" s="94">
        <f>O26+1</f>
        <v>21</v>
      </c>
      <c r="P32" s="54"/>
      <c r="Q32" s="55">
        <f>IF(P32="",0,1)</f>
        <v>0</v>
      </c>
      <c r="R32" s="59"/>
      <c r="S32" s="57">
        <f>IF(R32="",0,1)</f>
        <v>0</v>
      </c>
      <c r="T32" s="60" t="s">
        <v>158</v>
      </c>
      <c r="V32" s="61"/>
    </row>
    <row r="33" spans="1:22">
      <c r="A33" s="95"/>
      <c r="B33" s="62"/>
      <c r="C33" s="63">
        <f>IF(B33="",0,2)</f>
        <v>0</v>
      </c>
      <c r="D33" s="56"/>
      <c r="E33" s="64">
        <f>IF(D33="",0,2)</f>
        <v>0</v>
      </c>
      <c r="F33" s="65" t="s">
        <v>159</v>
      </c>
      <c r="H33" s="95"/>
      <c r="I33" s="62"/>
      <c r="J33" s="63">
        <f>IF(I33="",0,2)</f>
        <v>0</v>
      </c>
      <c r="K33" s="56"/>
      <c r="L33" s="64">
        <f>IF(K33="",0,2)</f>
        <v>0</v>
      </c>
      <c r="M33" s="60" t="s">
        <v>160</v>
      </c>
      <c r="O33" s="95"/>
      <c r="P33" s="62"/>
      <c r="Q33" s="63">
        <f>IF(P33="",0,2)</f>
        <v>0</v>
      </c>
      <c r="R33" s="56"/>
      <c r="S33" s="64">
        <f>IF(R33="",0,2)</f>
        <v>0</v>
      </c>
      <c r="T33" s="60" t="s">
        <v>161</v>
      </c>
      <c r="V33" s="61"/>
    </row>
    <row r="34" spans="1:22">
      <c r="A34" s="95"/>
      <c r="B34" s="62"/>
      <c r="C34" s="63">
        <f>IF(B34="",0,3)</f>
        <v>0</v>
      </c>
      <c r="D34" s="56"/>
      <c r="E34" s="64">
        <f>IF(D34="",0,3)</f>
        <v>0</v>
      </c>
      <c r="F34" s="65" t="s">
        <v>162</v>
      </c>
      <c r="H34" s="95"/>
      <c r="I34" s="62"/>
      <c r="J34" s="63">
        <f>IF(I34="",0,3)</f>
        <v>0</v>
      </c>
      <c r="K34" s="56"/>
      <c r="L34" s="64">
        <f>IF(K34="",0,3)</f>
        <v>0</v>
      </c>
      <c r="M34" s="60" t="s">
        <v>163</v>
      </c>
      <c r="O34" s="95"/>
      <c r="P34" s="62"/>
      <c r="Q34" s="63">
        <f>IF(P34="",0,3)</f>
        <v>0</v>
      </c>
      <c r="R34" s="56"/>
      <c r="S34" s="64">
        <f>IF(R34="",0,3)</f>
        <v>0</v>
      </c>
      <c r="T34" s="60" t="s">
        <v>164</v>
      </c>
      <c r="V34" s="61"/>
    </row>
    <row r="35" spans="1:22" ht="12.75" customHeight="1">
      <c r="A35" s="96"/>
      <c r="B35" s="66"/>
      <c r="C35" s="67">
        <f>IF(B35="",0,4)</f>
        <v>0</v>
      </c>
      <c r="D35" s="68"/>
      <c r="E35" s="69">
        <f>IF(D35="",0,4)</f>
        <v>0</v>
      </c>
      <c r="F35" s="70" t="s">
        <v>165</v>
      </c>
      <c r="H35" s="96"/>
      <c r="I35" s="66"/>
      <c r="J35" s="67">
        <f>IF(I35="",0,4)</f>
        <v>0</v>
      </c>
      <c r="K35" s="68"/>
      <c r="L35" s="69">
        <f>IF(K35="",0,4)</f>
        <v>0</v>
      </c>
      <c r="M35" s="71" t="s">
        <v>166</v>
      </c>
      <c r="O35" s="96"/>
      <c r="P35" s="66"/>
      <c r="Q35" s="67">
        <f>IF(P35="",0,4)</f>
        <v>0</v>
      </c>
      <c r="R35" s="68"/>
      <c r="S35" s="69">
        <f>IF(R35="",0,4)</f>
        <v>0</v>
      </c>
      <c r="T35" s="71" t="s">
        <v>167</v>
      </c>
      <c r="V35" s="61"/>
    </row>
    <row r="36" spans="1:22" ht="6" customHeight="1">
      <c r="A36" s="53"/>
      <c r="B36" s="73">
        <f>(COUNTIF(B32:B35,"x"))</f>
        <v>0</v>
      </c>
      <c r="C36" s="74">
        <f>SUM(C32:C35)</f>
        <v>0</v>
      </c>
      <c r="D36" s="73">
        <f>(COUNTIF(D32:D35,"x"))</f>
        <v>0</v>
      </c>
      <c r="E36" s="73">
        <f>SUM(E32:E35)</f>
        <v>0</v>
      </c>
      <c r="F36" s="61"/>
      <c r="G36" s="61"/>
      <c r="H36" s="53"/>
      <c r="I36" s="73">
        <f>(COUNTIF(I32:I35,"x"))</f>
        <v>0</v>
      </c>
      <c r="J36" s="74">
        <f>SUM(J32:J35)</f>
        <v>0</v>
      </c>
      <c r="K36" s="73">
        <f>(COUNTIF(K32:K35,"x"))</f>
        <v>0</v>
      </c>
      <c r="L36" s="73">
        <f>SUM(L32:L35)</f>
        <v>0</v>
      </c>
      <c r="M36" s="61"/>
      <c r="N36" s="61"/>
      <c r="O36" s="53"/>
      <c r="P36" s="73">
        <f>(COUNTIF(P32:P35,"x"))</f>
        <v>0</v>
      </c>
      <c r="Q36" s="74">
        <f>SUM(Q32:Q35)</f>
        <v>0</v>
      </c>
      <c r="R36" s="73">
        <f>(COUNTIF(R32:R35,"x"))</f>
        <v>0</v>
      </c>
      <c r="S36" s="73">
        <f>SUM(S32:S35)</f>
        <v>0</v>
      </c>
      <c r="T36" s="61"/>
      <c r="V36" s="61">
        <f>SUM(B36,D36,I36,K36,P36,R36)</f>
        <v>0</v>
      </c>
    </row>
    <row r="37" spans="1:22" s="39" customFormat="1" ht="12.75" customHeight="1">
      <c r="A37" s="46" t="s">
        <v>8</v>
      </c>
      <c r="B37" s="47" t="s">
        <v>52</v>
      </c>
      <c r="C37" s="48"/>
      <c r="D37" s="49" t="s">
        <v>80</v>
      </c>
      <c r="E37" s="76"/>
      <c r="F37" s="51" t="s">
        <v>107</v>
      </c>
      <c r="H37" s="46" t="s">
        <v>8</v>
      </c>
      <c r="I37" s="47" t="s">
        <v>52</v>
      </c>
      <c r="J37" s="48"/>
      <c r="K37" s="49" t="s">
        <v>80</v>
      </c>
      <c r="L37" s="76"/>
      <c r="M37" s="51" t="s">
        <v>107</v>
      </c>
      <c r="O37" s="46" t="s">
        <v>8</v>
      </c>
      <c r="P37" s="47" t="s">
        <v>52</v>
      </c>
      <c r="Q37" s="48"/>
      <c r="R37" s="49" t="s">
        <v>80</v>
      </c>
      <c r="S37" s="76"/>
      <c r="T37" s="51" t="s">
        <v>107</v>
      </c>
      <c r="V37" s="53"/>
    </row>
    <row r="38" spans="1:22">
      <c r="A38" s="94">
        <f>A32+1</f>
        <v>6</v>
      </c>
      <c r="B38" s="54"/>
      <c r="C38" s="55">
        <f>IF(B38="",0,1)</f>
        <v>0</v>
      </c>
      <c r="D38" s="59"/>
      <c r="E38" s="57">
        <f>IF(D38="",0,1)</f>
        <v>0</v>
      </c>
      <c r="F38" s="58" t="s">
        <v>168</v>
      </c>
      <c r="H38" s="94">
        <f>H32+1</f>
        <v>14</v>
      </c>
      <c r="I38" s="54"/>
      <c r="J38" s="55">
        <f>IF(I38="",0,1)</f>
        <v>0</v>
      </c>
      <c r="K38" s="59"/>
      <c r="L38" s="57">
        <f>IF(K38="",0,1)</f>
        <v>0</v>
      </c>
      <c r="M38" s="60" t="s">
        <v>169</v>
      </c>
      <c r="O38" s="94">
        <f>O32+1</f>
        <v>22</v>
      </c>
      <c r="P38" s="54"/>
      <c r="Q38" s="55">
        <f>IF(P38="",0,1)</f>
        <v>0</v>
      </c>
      <c r="R38" s="59"/>
      <c r="S38" s="57">
        <f>IF(R38="",0,1)</f>
        <v>0</v>
      </c>
      <c r="T38" s="60" t="s">
        <v>170</v>
      </c>
      <c r="V38" s="61"/>
    </row>
    <row r="39" spans="1:22">
      <c r="A39" s="95"/>
      <c r="B39" s="62"/>
      <c r="C39" s="63">
        <f>IF(B39="",0,2)</f>
        <v>0</v>
      </c>
      <c r="D39" s="56"/>
      <c r="E39" s="64">
        <f>IF(D39="",0,2)</f>
        <v>0</v>
      </c>
      <c r="F39" s="65" t="s">
        <v>171</v>
      </c>
      <c r="H39" s="95"/>
      <c r="I39" s="62"/>
      <c r="J39" s="63">
        <f>IF(I39="",0,2)</f>
        <v>0</v>
      </c>
      <c r="K39" s="56"/>
      <c r="L39" s="64">
        <f>IF(K39="",0,2)</f>
        <v>0</v>
      </c>
      <c r="M39" s="60" t="s">
        <v>172</v>
      </c>
      <c r="O39" s="95"/>
      <c r="P39" s="62"/>
      <c r="Q39" s="63">
        <f>IF(P39="",0,2)</f>
        <v>0</v>
      </c>
      <c r="R39" s="56"/>
      <c r="S39" s="64">
        <f>IF(R39="",0,2)</f>
        <v>0</v>
      </c>
      <c r="T39" s="60" t="s">
        <v>173</v>
      </c>
      <c r="V39" s="61"/>
    </row>
    <row r="40" spans="1:22">
      <c r="A40" s="95"/>
      <c r="B40" s="62"/>
      <c r="C40" s="63">
        <f>IF(B40="",0,3)</f>
        <v>0</v>
      </c>
      <c r="D40" s="56"/>
      <c r="E40" s="64">
        <f>IF(D40="",0,3)</f>
        <v>0</v>
      </c>
      <c r="F40" s="65" t="s">
        <v>174</v>
      </c>
      <c r="H40" s="95"/>
      <c r="I40" s="62"/>
      <c r="J40" s="63">
        <f>IF(I40="",0,3)</f>
        <v>0</v>
      </c>
      <c r="K40" s="56"/>
      <c r="L40" s="64">
        <f>IF(K40="",0,3)</f>
        <v>0</v>
      </c>
      <c r="M40" s="60" t="s">
        <v>175</v>
      </c>
      <c r="O40" s="95"/>
      <c r="P40" s="62"/>
      <c r="Q40" s="63">
        <f>IF(P40="",0,3)</f>
        <v>0</v>
      </c>
      <c r="R40" s="56"/>
      <c r="S40" s="64">
        <f>IF(R40="",0,3)</f>
        <v>0</v>
      </c>
      <c r="T40" s="60" t="s">
        <v>176</v>
      </c>
      <c r="V40" s="61"/>
    </row>
    <row r="41" spans="1:22" ht="12.75" customHeight="1">
      <c r="A41" s="96"/>
      <c r="B41" s="66"/>
      <c r="C41" s="67">
        <f>IF(B41="",0,4)</f>
        <v>0</v>
      </c>
      <c r="D41" s="68"/>
      <c r="E41" s="69">
        <f>IF(D41="",0,4)</f>
        <v>0</v>
      </c>
      <c r="F41" s="70" t="s">
        <v>177</v>
      </c>
      <c r="H41" s="96"/>
      <c r="I41" s="66"/>
      <c r="J41" s="67">
        <f>IF(I41="",0,4)</f>
        <v>0</v>
      </c>
      <c r="K41" s="68"/>
      <c r="L41" s="69">
        <f>IF(K41="",0,4)</f>
        <v>0</v>
      </c>
      <c r="M41" s="71" t="s">
        <v>178</v>
      </c>
      <c r="O41" s="96"/>
      <c r="P41" s="66"/>
      <c r="Q41" s="67">
        <f>IF(P41="",0,4)</f>
        <v>0</v>
      </c>
      <c r="R41" s="68"/>
      <c r="S41" s="69">
        <f>IF(R41="",0,4)</f>
        <v>0</v>
      </c>
      <c r="T41" s="71" t="s">
        <v>169</v>
      </c>
      <c r="V41" s="61"/>
    </row>
    <row r="42" spans="1:22" ht="6" customHeight="1">
      <c r="A42" s="53"/>
      <c r="B42" s="73">
        <f>(COUNTIF(B38:B41,"x"))</f>
        <v>0</v>
      </c>
      <c r="C42" s="74">
        <f>SUM(C38:C41)</f>
        <v>0</v>
      </c>
      <c r="D42" s="73">
        <f>(COUNTIF(D38:D41,"x"))</f>
        <v>0</v>
      </c>
      <c r="E42" s="73">
        <f>SUM(E38:E41)</f>
        <v>0</v>
      </c>
      <c r="F42" s="61"/>
      <c r="G42" s="61"/>
      <c r="H42" s="53"/>
      <c r="I42" s="73">
        <f>(COUNTIF(I38:I41,"x"))</f>
        <v>0</v>
      </c>
      <c r="J42" s="74">
        <f>SUM(J38:J41)</f>
        <v>0</v>
      </c>
      <c r="K42" s="73">
        <f>(COUNTIF(K38:K41,"x"))</f>
        <v>0</v>
      </c>
      <c r="L42" s="73">
        <f>SUM(L38:L41)</f>
        <v>0</v>
      </c>
      <c r="M42" s="61"/>
      <c r="N42" s="61"/>
      <c r="O42" s="53"/>
      <c r="P42" s="73">
        <f>(COUNTIF(P38:P41,"x"))</f>
        <v>0</v>
      </c>
      <c r="Q42" s="74">
        <f>SUM(Q38:Q41)</f>
        <v>0</v>
      </c>
      <c r="R42" s="73">
        <f>(COUNTIF(R38:R41,"x"))</f>
        <v>0</v>
      </c>
      <c r="S42" s="73">
        <f>SUM(S38:S41)</f>
        <v>0</v>
      </c>
      <c r="T42" s="61"/>
      <c r="V42" s="61">
        <f>SUM(B42,D42,I42,K42,P42,R42)</f>
        <v>0</v>
      </c>
    </row>
    <row r="43" spans="1:22" s="39" customFormat="1" ht="12.75" customHeight="1">
      <c r="A43" s="46" t="s">
        <v>8</v>
      </c>
      <c r="B43" s="47" t="s">
        <v>52</v>
      </c>
      <c r="C43" s="48"/>
      <c r="D43" s="49" t="s">
        <v>80</v>
      </c>
      <c r="E43" s="76"/>
      <c r="F43" s="51" t="s">
        <v>107</v>
      </c>
      <c r="H43" s="46" t="s">
        <v>8</v>
      </c>
      <c r="I43" s="47" t="s">
        <v>52</v>
      </c>
      <c r="J43" s="48"/>
      <c r="K43" s="49" t="s">
        <v>80</v>
      </c>
      <c r="L43" s="76"/>
      <c r="M43" s="51" t="s">
        <v>107</v>
      </c>
      <c r="O43" s="46" t="s">
        <v>8</v>
      </c>
      <c r="P43" s="47" t="s">
        <v>52</v>
      </c>
      <c r="Q43" s="48"/>
      <c r="R43" s="49" t="s">
        <v>80</v>
      </c>
      <c r="S43" s="76"/>
      <c r="T43" s="51" t="s">
        <v>107</v>
      </c>
      <c r="V43" s="53"/>
    </row>
    <row r="44" spans="1:22">
      <c r="A44" s="94">
        <f>A38+1</f>
        <v>7</v>
      </c>
      <c r="B44" s="54"/>
      <c r="C44" s="55">
        <f>IF(B44="",0,1)</f>
        <v>0</v>
      </c>
      <c r="D44" s="59"/>
      <c r="E44" s="57">
        <f>IF(D44="",0,1)</f>
        <v>0</v>
      </c>
      <c r="F44" s="58" t="s">
        <v>179</v>
      </c>
      <c r="H44" s="94">
        <f>H38+1</f>
        <v>15</v>
      </c>
      <c r="I44" s="54"/>
      <c r="J44" s="55">
        <f>IF(I44="",0,1)</f>
        <v>0</v>
      </c>
      <c r="K44" s="59"/>
      <c r="L44" s="57">
        <f>IF(K44="",0,1)</f>
        <v>0</v>
      </c>
      <c r="M44" s="77" t="s">
        <v>180</v>
      </c>
      <c r="O44" s="94">
        <f>O38+1</f>
        <v>23</v>
      </c>
      <c r="P44" s="54"/>
      <c r="Q44" s="55">
        <f>IF(P44="",0,1)</f>
        <v>0</v>
      </c>
      <c r="R44" s="59"/>
      <c r="S44" s="57">
        <f>IF(R44="",0,1)</f>
        <v>0</v>
      </c>
      <c r="T44" s="60" t="s">
        <v>181</v>
      </c>
      <c r="V44" s="61"/>
    </row>
    <row r="45" spans="1:22">
      <c r="A45" s="95"/>
      <c r="B45" s="62"/>
      <c r="C45" s="63">
        <f>IF(B45="",0,2)</f>
        <v>0</v>
      </c>
      <c r="D45" s="56"/>
      <c r="E45" s="64">
        <f>IF(D45="",0,2)</f>
        <v>0</v>
      </c>
      <c r="F45" s="65" t="s">
        <v>182</v>
      </c>
      <c r="H45" s="95"/>
      <c r="I45" s="62"/>
      <c r="J45" s="63">
        <f>IF(I45="",0,2)</f>
        <v>0</v>
      </c>
      <c r="K45" s="56"/>
      <c r="L45" s="64">
        <f>IF(K45="",0,2)</f>
        <v>0</v>
      </c>
      <c r="M45" s="60" t="s">
        <v>183</v>
      </c>
      <c r="O45" s="95"/>
      <c r="P45" s="62"/>
      <c r="Q45" s="63">
        <f>IF(P45="",0,2)</f>
        <v>0</v>
      </c>
      <c r="R45" s="56"/>
      <c r="S45" s="64">
        <f>IF(R45="",0,2)</f>
        <v>0</v>
      </c>
      <c r="T45" s="60" t="s">
        <v>184</v>
      </c>
      <c r="V45" s="61"/>
    </row>
    <row r="46" spans="1:22">
      <c r="A46" s="95"/>
      <c r="B46" s="62"/>
      <c r="C46" s="63">
        <f>IF(B46="",0,3)</f>
        <v>0</v>
      </c>
      <c r="D46" s="56"/>
      <c r="E46" s="64">
        <f>IF(D46="",0,3)</f>
        <v>0</v>
      </c>
      <c r="F46" s="65" t="s">
        <v>185</v>
      </c>
      <c r="H46" s="95"/>
      <c r="I46" s="62"/>
      <c r="J46" s="63">
        <f>IF(I46="",0,3)</f>
        <v>0</v>
      </c>
      <c r="K46" s="56"/>
      <c r="L46" s="64">
        <f>IF(K46="",0,3)</f>
        <v>0</v>
      </c>
      <c r="M46" s="60" t="s">
        <v>186</v>
      </c>
      <c r="O46" s="95"/>
      <c r="P46" s="62"/>
      <c r="Q46" s="63">
        <f>IF(P46="",0,3)</f>
        <v>0</v>
      </c>
      <c r="R46" s="56"/>
      <c r="S46" s="64">
        <f>IF(R46="",0,3)</f>
        <v>0</v>
      </c>
      <c r="T46" s="60" t="s">
        <v>187</v>
      </c>
      <c r="V46" s="61"/>
    </row>
    <row r="47" spans="1:22" ht="12.75" customHeight="1">
      <c r="A47" s="96"/>
      <c r="B47" s="66"/>
      <c r="C47" s="67">
        <f>IF(B47="",0,4)</f>
        <v>0</v>
      </c>
      <c r="D47" s="68"/>
      <c r="E47" s="69">
        <f>IF(D47="",0,4)</f>
        <v>0</v>
      </c>
      <c r="F47" s="70" t="s">
        <v>188</v>
      </c>
      <c r="H47" s="96"/>
      <c r="I47" s="66"/>
      <c r="J47" s="67">
        <f>IF(I47="",0,4)</f>
        <v>0</v>
      </c>
      <c r="K47" s="68"/>
      <c r="L47" s="69">
        <f>IF(K47="",0,4)</f>
        <v>0</v>
      </c>
      <c r="M47" s="78" t="s">
        <v>189</v>
      </c>
      <c r="O47" s="96"/>
      <c r="P47" s="66"/>
      <c r="Q47" s="67">
        <f>IF(P47="",0,4)</f>
        <v>0</v>
      </c>
      <c r="R47" s="68"/>
      <c r="S47" s="69">
        <f>IF(R47="",0,4)</f>
        <v>0</v>
      </c>
      <c r="T47" s="71" t="s">
        <v>190</v>
      </c>
      <c r="V47" s="61"/>
    </row>
    <row r="48" spans="1:22" ht="6" customHeight="1">
      <c r="A48" s="53"/>
      <c r="B48" s="73">
        <f>(COUNTIF(B44:B47,"x"))</f>
        <v>0</v>
      </c>
      <c r="C48" s="74">
        <f>SUM(C44:C47)</f>
        <v>0</v>
      </c>
      <c r="D48" s="73">
        <f>(COUNTIF(D44:D47,"x"))</f>
        <v>0</v>
      </c>
      <c r="E48" s="73">
        <f>SUM(E44:E47)</f>
        <v>0</v>
      </c>
      <c r="F48" s="61"/>
      <c r="G48" s="61"/>
      <c r="H48" s="53"/>
      <c r="I48" s="73">
        <f>(COUNTIF(I44:I47,"x"))</f>
        <v>0</v>
      </c>
      <c r="J48" s="74">
        <f>SUM(J44:J47)</f>
        <v>0</v>
      </c>
      <c r="K48" s="73">
        <f>(COUNTIF(K44:K47,"x"))</f>
        <v>0</v>
      </c>
      <c r="L48" s="73">
        <f>SUM(L44:L47)</f>
        <v>0</v>
      </c>
      <c r="M48" s="61"/>
      <c r="N48" s="61"/>
      <c r="O48" s="53"/>
      <c r="P48" s="73">
        <f>(COUNTIF(P44:P47,"x"))</f>
        <v>0</v>
      </c>
      <c r="Q48" s="74">
        <f>SUM(Q44:Q47)</f>
        <v>0</v>
      </c>
      <c r="R48" s="73">
        <f>(COUNTIF(R44:R47,"x"))</f>
        <v>0</v>
      </c>
      <c r="S48" s="73">
        <f>SUM(S44:S47)</f>
        <v>0</v>
      </c>
      <c r="T48" s="61"/>
      <c r="V48" s="61">
        <f>SUM(B48,D48,I48,K48,P48,R48)</f>
        <v>0</v>
      </c>
    </row>
    <row r="49" spans="1:22" s="39" customFormat="1" ht="12.75" customHeight="1">
      <c r="A49" s="46" t="s">
        <v>8</v>
      </c>
      <c r="B49" s="47" t="s">
        <v>52</v>
      </c>
      <c r="C49" s="48"/>
      <c r="D49" s="49" t="s">
        <v>80</v>
      </c>
      <c r="E49" s="76"/>
      <c r="F49" s="51" t="s">
        <v>107</v>
      </c>
      <c r="H49" s="46" t="s">
        <v>8</v>
      </c>
      <c r="I49" s="47" t="s">
        <v>52</v>
      </c>
      <c r="J49" s="48"/>
      <c r="K49" s="49" t="s">
        <v>80</v>
      </c>
      <c r="L49" s="76"/>
      <c r="M49" s="51" t="s">
        <v>107</v>
      </c>
      <c r="O49" s="46" t="s">
        <v>8</v>
      </c>
      <c r="P49" s="47" t="s">
        <v>52</v>
      </c>
      <c r="Q49" s="48"/>
      <c r="R49" s="49" t="s">
        <v>80</v>
      </c>
      <c r="S49" s="76"/>
      <c r="T49" s="51" t="s">
        <v>107</v>
      </c>
      <c r="V49" s="53"/>
    </row>
    <row r="50" spans="1:22">
      <c r="A50" s="94">
        <f>A44+1</f>
        <v>8</v>
      </c>
      <c r="B50" s="54"/>
      <c r="C50" s="55">
        <f>IF(B50="",0,1)</f>
        <v>0</v>
      </c>
      <c r="D50" s="59"/>
      <c r="E50" s="57">
        <f>IF(D50="",0,1)</f>
        <v>0</v>
      </c>
      <c r="F50" s="58" t="s">
        <v>191</v>
      </c>
      <c r="H50" s="94">
        <f>H44+1</f>
        <v>16</v>
      </c>
      <c r="I50" s="54"/>
      <c r="J50" s="55">
        <f>IF(I50="",0,1)</f>
        <v>0</v>
      </c>
      <c r="K50" s="59"/>
      <c r="L50" s="57">
        <f>IF(K50="",0,1)</f>
        <v>0</v>
      </c>
      <c r="M50" s="60" t="s">
        <v>192</v>
      </c>
      <c r="O50" s="94">
        <f>O44+1</f>
        <v>24</v>
      </c>
      <c r="P50" s="54"/>
      <c r="Q50" s="55">
        <f>IF(P50="",0,1)</f>
        <v>0</v>
      </c>
      <c r="R50" s="59"/>
      <c r="S50" s="57">
        <f>IF(R50="",0,1)</f>
        <v>0</v>
      </c>
      <c r="T50" s="60" t="s">
        <v>193</v>
      </c>
      <c r="V50" s="61"/>
    </row>
    <row r="51" spans="1:22">
      <c r="A51" s="95"/>
      <c r="B51" s="62"/>
      <c r="C51" s="63">
        <f>IF(B51="",0,2)</f>
        <v>0</v>
      </c>
      <c r="D51" s="56"/>
      <c r="E51" s="64">
        <f>IF(D51="",0,2)</f>
        <v>0</v>
      </c>
      <c r="F51" s="65" t="s">
        <v>194</v>
      </c>
      <c r="H51" s="95"/>
      <c r="I51" s="62"/>
      <c r="J51" s="63">
        <f>IF(I51="",0,2)</f>
        <v>0</v>
      </c>
      <c r="K51" s="56"/>
      <c r="L51" s="64">
        <f>IF(K51="",0,2)</f>
        <v>0</v>
      </c>
      <c r="M51" s="60" t="s">
        <v>195</v>
      </c>
      <c r="O51" s="95"/>
      <c r="P51" s="62"/>
      <c r="Q51" s="63">
        <f>IF(P51="",0,2)</f>
        <v>0</v>
      </c>
      <c r="R51" s="56"/>
      <c r="S51" s="64">
        <f>IF(R51="",0,2)</f>
        <v>0</v>
      </c>
      <c r="T51" s="60" t="s">
        <v>196</v>
      </c>
      <c r="V51" s="61"/>
    </row>
    <row r="52" spans="1:22">
      <c r="A52" s="95"/>
      <c r="B52" s="62"/>
      <c r="C52" s="63">
        <f>IF(B52="",0,3)</f>
        <v>0</v>
      </c>
      <c r="D52" s="56"/>
      <c r="E52" s="64">
        <f>IF(D52="",0,3)</f>
        <v>0</v>
      </c>
      <c r="F52" s="65" t="s">
        <v>197</v>
      </c>
      <c r="H52" s="95"/>
      <c r="I52" s="62"/>
      <c r="J52" s="63">
        <f>IF(I52="",0,3)</f>
        <v>0</v>
      </c>
      <c r="K52" s="56"/>
      <c r="L52" s="64">
        <f>IF(K52="",0,3)</f>
        <v>0</v>
      </c>
      <c r="M52" s="60" t="s">
        <v>198</v>
      </c>
      <c r="O52" s="95"/>
      <c r="P52" s="62"/>
      <c r="Q52" s="63">
        <f>IF(P52="",0,3)</f>
        <v>0</v>
      </c>
      <c r="R52" s="56"/>
      <c r="S52" s="64">
        <f>IF(R52="",0,3)</f>
        <v>0</v>
      </c>
      <c r="T52" s="60" t="s">
        <v>199</v>
      </c>
      <c r="V52" s="61"/>
    </row>
    <row r="53" spans="1:22" ht="12.75" customHeight="1">
      <c r="A53" s="96"/>
      <c r="B53" s="66"/>
      <c r="C53" s="67">
        <f>IF(B53="",0,4)</f>
        <v>0</v>
      </c>
      <c r="D53" s="68"/>
      <c r="E53" s="69">
        <f>IF(D53="",0,4)</f>
        <v>0</v>
      </c>
      <c r="F53" s="70" t="s">
        <v>200</v>
      </c>
      <c r="H53" s="96"/>
      <c r="I53" s="66"/>
      <c r="J53" s="67">
        <f>IF(I53="",0,4)</f>
        <v>0</v>
      </c>
      <c r="K53" s="68"/>
      <c r="L53" s="69">
        <f>IF(K53="",0,4)</f>
        <v>0</v>
      </c>
      <c r="M53" s="71" t="s">
        <v>201</v>
      </c>
      <c r="O53" s="96"/>
      <c r="P53" s="66"/>
      <c r="Q53" s="67">
        <f>IF(P53="",0,4)</f>
        <v>0</v>
      </c>
      <c r="R53" s="68"/>
      <c r="S53" s="69">
        <f>IF(R53="",0,4)</f>
        <v>0</v>
      </c>
      <c r="T53" s="71" t="s">
        <v>202</v>
      </c>
      <c r="V53" s="61"/>
    </row>
    <row r="54" spans="1:22" ht="6" customHeight="1">
      <c r="A54" s="53"/>
      <c r="B54" s="73">
        <f>(COUNTIF(B50:B53,"x"))</f>
        <v>0</v>
      </c>
      <c r="C54" s="74">
        <f>SUM(C50:C53)</f>
        <v>0</v>
      </c>
      <c r="D54" s="73">
        <f>(COUNTIF(D50:D53,"x"))</f>
        <v>0</v>
      </c>
      <c r="E54" s="73">
        <f>SUM(E50:E53)</f>
        <v>0</v>
      </c>
      <c r="F54" s="61"/>
      <c r="G54" s="61"/>
      <c r="H54" s="53"/>
      <c r="I54" s="73">
        <f>(COUNTIF(I50:I53,"x"))</f>
        <v>0</v>
      </c>
      <c r="J54" s="74">
        <f>SUM(J50:J53)</f>
        <v>0</v>
      </c>
      <c r="K54" s="73">
        <f>(COUNTIF(K50:K53,"x"))</f>
        <v>0</v>
      </c>
      <c r="L54" s="73">
        <f>SUM(L50:L53)</f>
        <v>0</v>
      </c>
      <c r="M54" s="61"/>
      <c r="N54" s="61"/>
      <c r="O54" s="53"/>
      <c r="P54" s="73">
        <f>(COUNTIF(P50:P53,"x"))</f>
        <v>0</v>
      </c>
      <c r="Q54" s="74">
        <f>SUM(Q50:Q53)</f>
        <v>0</v>
      </c>
      <c r="R54" s="73">
        <f>(COUNTIF(R50:R53,"x"))</f>
        <v>0</v>
      </c>
      <c r="S54" s="73">
        <f>SUM(S50:S53)</f>
        <v>0</v>
      </c>
      <c r="T54" s="61"/>
      <c r="V54" s="72">
        <f>SUM(B54,D54,I54,K54,P54,R54)</f>
        <v>0</v>
      </c>
    </row>
    <row r="55" spans="1:22">
      <c r="A55" s="83" t="str">
        <f>IF(SUM(V12,V18,V24,V30,V36,V42,V48,V54)=0,"",IF(SUM(V12,V18,V24,V30,V36,V42,V48,V54)=48,"","PERIKSA LAGI! ADA KESALAHAN PENGISIAN!"))</f>
        <v/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</row>
    <row r="56" spans="1:22" ht="21" customHeight="1">
      <c r="A56" s="84" t="str">
        <f>IF(SUM(V12,V18,V24,V30,V36,V42,V48,V54)=48,"OK!!!!!","")</f>
        <v/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</row>
    <row r="57" spans="1:22" ht="21" customHeight="1">
      <c r="A57" s="79" t="s">
        <v>203</v>
      </c>
    </row>
    <row r="58" spans="1:22" ht="12.75" customHeight="1">
      <c r="A58" s="85" t="s">
        <v>204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7"/>
    </row>
    <row r="59" spans="1:22">
      <c r="A59" s="88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90"/>
    </row>
    <row r="60" spans="1:22">
      <c r="A60" s="88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90"/>
    </row>
    <row r="61" spans="1:22">
      <c r="A61" s="88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90"/>
    </row>
    <row r="62" spans="1:22">
      <c r="A62" s="88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90"/>
    </row>
    <row r="63" spans="1:22">
      <c r="A63" s="88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90"/>
    </row>
    <row r="64" spans="1:22" ht="12.75" customHeight="1">
      <c r="A64" s="91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3"/>
    </row>
    <row r="65" ht="12.75" customHeight="1"/>
  </sheetData>
  <mergeCells count="33">
    <mergeCell ref="A1:T1"/>
    <mergeCell ref="A2:D2"/>
    <mergeCell ref="H2:T5"/>
    <mergeCell ref="A3:D3"/>
    <mergeCell ref="A4:D4"/>
    <mergeCell ref="A5:D5"/>
    <mergeCell ref="A8:A11"/>
    <mergeCell ref="H8:H11"/>
    <mergeCell ref="O8:O11"/>
    <mergeCell ref="A14:A17"/>
    <mergeCell ref="H14:H17"/>
    <mergeCell ref="O14:O17"/>
    <mergeCell ref="A20:A23"/>
    <mergeCell ref="H20:H23"/>
    <mergeCell ref="O20:O23"/>
    <mergeCell ref="A26:A29"/>
    <mergeCell ref="H26:H29"/>
    <mergeCell ref="O26:O29"/>
    <mergeCell ref="A32:A35"/>
    <mergeCell ref="H32:H35"/>
    <mergeCell ref="O32:O35"/>
    <mergeCell ref="A38:A41"/>
    <mergeCell ref="H38:H41"/>
    <mergeCell ref="O38:O41"/>
    <mergeCell ref="A55:T55"/>
    <mergeCell ref="A56:T56"/>
    <mergeCell ref="A58:S64"/>
    <mergeCell ref="A44:A47"/>
    <mergeCell ref="H44:H47"/>
    <mergeCell ref="O44:O47"/>
    <mergeCell ref="A50:A53"/>
    <mergeCell ref="H50:H53"/>
    <mergeCell ref="O50:O53"/>
  </mergeCells>
  <pageMargins left="0.75" right="0.75" top="1" bottom="1" header="0.5" footer="0.5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WPT</vt:lpstr>
      <vt:lpstr>Papikostik</vt:lpstr>
      <vt:lpstr>IST</vt:lpstr>
      <vt:lpstr>DISC Test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2022-11-28T06:59:06Z</dcterms:created>
  <dcterms:modified xsi:type="dcterms:W3CDTF">2026-06-02T03:28:36Z</dcterms:modified>
  <cp:category/>
  <cp:contentStatus/>
</cp:coreProperties>
</file>